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fatec\6-sem\mineracao\aula-05\lista_01\exercicio_02\"/>
    </mc:Choice>
  </mc:AlternateContent>
  <xr:revisionPtr revIDLastSave="0" documentId="13_ncr:1_{831E7FF5-19FD-4E30-AE37-DB6D034C4719}" xr6:coauthVersionLast="47" xr6:coauthVersionMax="47" xr10:uidLastSave="{00000000-0000-0000-0000-000000000000}"/>
  <bookViews>
    <workbookView xWindow="-108" yWindow="-108" windowWidth="23256" windowHeight="12456" activeTab="1" xr2:uid="{000254CC-66AB-4572-86A4-9D763C8E012C}"/>
  </bookViews>
  <sheets>
    <sheet name="Power BI" sheetId="6" r:id="rId1"/>
    <sheet name="Alunos" sheetId="2" r:id="rId2"/>
    <sheet name="Cursos" sheetId="3" r:id="rId3"/>
    <sheet name="Disciplinas" sheetId="4" r:id="rId4"/>
    <sheet name="Matricul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6" l="1"/>
  <c r="G22" i="6"/>
  <c r="G23" i="6"/>
  <c r="G24" i="6"/>
  <c r="G25" i="6"/>
  <c r="G26" i="6"/>
  <c r="G27" i="6"/>
  <c r="G28" i="6"/>
  <c r="G29" i="6"/>
  <c r="G30" i="6"/>
  <c r="G31" i="6"/>
  <c r="G32" i="6"/>
  <c r="C21" i="6"/>
  <c r="C22" i="6"/>
  <c r="C23" i="6"/>
  <c r="C24" i="6"/>
  <c r="J2" i="5"/>
  <c r="J9" i="5"/>
  <c r="J12" i="5"/>
  <c r="J14" i="5"/>
  <c r="J21" i="5"/>
  <c r="J24" i="5"/>
  <c r="J26" i="5"/>
  <c r="J33" i="5"/>
  <c r="J36" i="5"/>
  <c r="J38" i="5"/>
  <c r="J46" i="5"/>
  <c r="J48" i="5"/>
  <c r="J55" i="5"/>
  <c r="J57" i="5"/>
  <c r="J60" i="5"/>
  <c r="J61" i="5"/>
  <c r="J62" i="5"/>
  <c r="J63" i="5"/>
  <c r="J64" i="5"/>
  <c r="J65" i="5"/>
  <c r="J66" i="5"/>
  <c r="J67" i="5"/>
  <c r="J68" i="5"/>
  <c r="J69" i="5"/>
  <c r="J70" i="5"/>
  <c r="J72" i="5"/>
  <c r="J73" i="5"/>
  <c r="J74" i="5"/>
  <c r="J75" i="5"/>
  <c r="J76" i="5"/>
  <c r="J77" i="5"/>
  <c r="J78" i="5"/>
  <c r="J79" i="5"/>
  <c r="J80" i="5"/>
  <c r="J82" i="5"/>
  <c r="J83" i="5"/>
  <c r="J84" i="5"/>
  <c r="J85" i="5"/>
  <c r="J86" i="5"/>
  <c r="J87" i="5"/>
  <c r="J88" i="5"/>
  <c r="J89" i="5"/>
  <c r="J91" i="5"/>
  <c r="J98" i="5"/>
  <c r="J100" i="5"/>
  <c r="H2" i="5"/>
  <c r="H3" i="5"/>
  <c r="J3" i="5" s="1"/>
  <c r="H4" i="5"/>
  <c r="J4" i="5" s="1"/>
  <c r="H5" i="5"/>
  <c r="J5" i="5" s="1"/>
  <c r="H6" i="5"/>
  <c r="J6" i="5" s="1"/>
  <c r="H7" i="5"/>
  <c r="J7" i="5" s="1"/>
  <c r="H8" i="5"/>
  <c r="J8" i="5" s="1"/>
  <c r="H9" i="5"/>
  <c r="H10" i="5"/>
  <c r="J10" i="5" s="1"/>
  <c r="H11" i="5"/>
  <c r="J11" i="5" s="1"/>
  <c r="H12" i="5"/>
  <c r="H13" i="5"/>
  <c r="J13" i="5" s="1"/>
  <c r="H14" i="5"/>
  <c r="H15" i="5"/>
  <c r="J15" i="5" s="1"/>
  <c r="H16" i="5"/>
  <c r="J16" i="5" s="1"/>
  <c r="H17" i="5"/>
  <c r="J17" i="5" s="1"/>
  <c r="H18" i="5"/>
  <c r="J18" i="5" s="1"/>
  <c r="H19" i="5"/>
  <c r="J19" i="5" s="1"/>
  <c r="H20" i="5"/>
  <c r="J20" i="5" s="1"/>
  <c r="H21" i="5"/>
  <c r="H22" i="5"/>
  <c r="J22" i="5" s="1"/>
  <c r="H23" i="5"/>
  <c r="J23" i="5" s="1"/>
  <c r="H24" i="5"/>
  <c r="H25" i="5"/>
  <c r="J25" i="5" s="1"/>
  <c r="H26" i="5"/>
  <c r="H27" i="5"/>
  <c r="J27" i="5" s="1"/>
  <c r="H28" i="5"/>
  <c r="J28" i="5" s="1"/>
  <c r="H29" i="5"/>
  <c r="J29" i="5" s="1"/>
  <c r="H30" i="5"/>
  <c r="J30" i="5" s="1"/>
  <c r="H31" i="5"/>
  <c r="J31" i="5" s="1"/>
  <c r="H32" i="5"/>
  <c r="J32" i="5" s="1"/>
  <c r="H33" i="5"/>
  <c r="H34" i="5"/>
  <c r="J34" i="5" s="1"/>
  <c r="H35" i="5"/>
  <c r="J35" i="5" s="1"/>
  <c r="H36" i="5"/>
  <c r="H37" i="5"/>
  <c r="J37" i="5" s="1"/>
  <c r="H38" i="5"/>
  <c r="H39" i="5"/>
  <c r="J39" i="5" s="1"/>
  <c r="H40" i="5"/>
  <c r="J40" i="5" s="1"/>
  <c r="H41" i="5"/>
  <c r="J41" i="5" s="1"/>
  <c r="H42" i="5"/>
  <c r="J42" i="5" s="1"/>
  <c r="H43" i="5"/>
  <c r="J43" i="5" s="1"/>
  <c r="H44" i="5"/>
  <c r="J44" i="5" s="1"/>
  <c r="H45" i="5"/>
  <c r="J45" i="5" s="1"/>
  <c r="H46" i="5"/>
  <c r="H47" i="5"/>
  <c r="J47" i="5" s="1"/>
  <c r="H48" i="5"/>
  <c r="H49" i="5"/>
  <c r="J49" i="5" s="1"/>
  <c r="H50" i="5"/>
  <c r="J50" i="5" s="1"/>
  <c r="H51" i="5"/>
  <c r="J51" i="5" s="1"/>
  <c r="H52" i="5"/>
  <c r="J52" i="5" s="1"/>
  <c r="H53" i="5"/>
  <c r="J53" i="5" s="1"/>
  <c r="H54" i="5"/>
  <c r="J54" i="5" s="1"/>
  <c r="H55" i="5"/>
  <c r="H56" i="5"/>
  <c r="J56" i="5" s="1"/>
  <c r="H57" i="5"/>
  <c r="H58" i="5"/>
  <c r="J58" i="5" s="1"/>
  <c r="H59" i="5"/>
  <c r="J59" i="5" s="1"/>
  <c r="H60" i="5"/>
  <c r="H61" i="5"/>
  <c r="H62" i="5"/>
  <c r="H63" i="5"/>
  <c r="H64" i="5"/>
  <c r="H65" i="5"/>
  <c r="H66" i="5"/>
  <c r="H67" i="5"/>
  <c r="H68" i="5"/>
  <c r="H69" i="5"/>
  <c r="H70" i="5"/>
  <c r="H71" i="5"/>
  <c r="J71" i="5" s="1"/>
  <c r="H72" i="5"/>
  <c r="H73" i="5"/>
  <c r="H74" i="5"/>
  <c r="H75" i="5"/>
  <c r="H76" i="5"/>
  <c r="H77" i="5"/>
  <c r="H78" i="5"/>
  <c r="H79" i="5"/>
  <c r="H80" i="5"/>
  <c r="H81" i="5"/>
  <c r="J81" i="5" s="1"/>
  <c r="H82" i="5"/>
  <c r="H83" i="5"/>
  <c r="H84" i="5"/>
  <c r="H85" i="5"/>
  <c r="H86" i="5"/>
  <c r="H87" i="5"/>
  <c r="H88" i="5"/>
  <c r="H89" i="5"/>
  <c r="H90" i="5"/>
  <c r="J90" i="5" s="1"/>
  <c r="H91" i="5"/>
  <c r="H92" i="5"/>
  <c r="J92" i="5" s="1"/>
  <c r="H93" i="5"/>
  <c r="J93" i="5" s="1"/>
  <c r="H94" i="5"/>
  <c r="J94" i="5" s="1"/>
  <c r="H95" i="5"/>
  <c r="J95" i="5" s="1"/>
  <c r="H96" i="5"/>
  <c r="J96" i="5" s="1"/>
  <c r="H97" i="5"/>
  <c r="J97" i="5" s="1"/>
  <c r="H98" i="5"/>
  <c r="H99" i="5"/>
  <c r="J99" i="5" s="1"/>
  <c r="H100" i="5"/>
  <c r="H101" i="5"/>
  <c r="J101" i="5" s="1"/>
</calcChain>
</file>

<file path=xl/sharedStrings.xml><?xml version="1.0" encoding="utf-8"?>
<sst xmlns="http://schemas.openxmlformats.org/spreadsheetml/2006/main" count="480" uniqueCount="203">
  <si>
    <t>Alunos</t>
  </si>
  <si>
    <t>Cursos</t>
  </si>
  <si>
    <t>Disciplinas</t>
  </si>
  <si>
    <t>Matriculas</t>
  </si>
  <si>
    <t>ID_Curso</t>
  </si>
  <si>
    <t>Nome_Curso</t>
  </si>
  <si>
    <t>Area_Conhecimento</t>
  </si>
  <si>
    <t>Duracao_Semestres</t>
  </si>
  <si>
    <t>Modalidade</t>
  </si>
  <si>
    <t>Coordenador</t>
  </si>
  <si>
    <t>C001</t>
  </si>
  <si>
    <t>Administração</t>
  </si>
  <si>
    <t>Negócios</t>
  </si>
  <si>
    <t>Presencial</t>
  </si>
  <si>
    <t>Marina Costa</t>
  </si>
  <si>
    <t>C002</t>
  </si>
  <si>
    <t>Sistemas de Informação</t>
  </si>
  <si>
    <t>Tecnologia</t>
  </si>
  <si>
    <t>Ricardo Nunes</t>
  </si>
  <si>
    <t>C003</t>
  </si>
  <si>
    <t>Pedagogia</t>
  </si>
  <si>
    <t>Educação</t>
  </si>
  <si>
    <t>EAD</t>
  </si>
  <si>
    <t>Cláudia Martins</t>
  </si>
  <si>
    <t>C004</t>
  </si>
  <si>
    <t>Engenharia de Produção</t>
  </si>
  <si>
    <t>Engenharias</t>
  </si>
  <si>
    <t>Paulo Ribeiro</t>
  </si>
  <si>
    <t>ID_Disciplina</t>
  </si>
  <si>
    <t>Nome_Disciplina</t>
  </si>
  <si>
    <t>Carga_Horaria</t>
  </si>
  <si>
    <t>Semestre_Recomendado</t>
  </si>
  <si>
    <t>Tipo</t>
  </si>
  <si>
    <t>D001</t>
  </si>
  <si>
    <t>Fundamentos de Administração</t>
  </si>
  <si>
    <t>Obrigatória</t>
  </si>
  <si>
    <t>D002</t>
  </si>
  <si>
    <t>Contabilidade Geral</t>
  </si>
  <si>
    <t>D003</t>
  </si>
  <si>
    <t>Marketing</t>
  </si>
  <si>
    <t>D004</t>
  </si>
  <si>
    <t>Lógica de Programação</t>
  </si>
  <si>
    <t>D005</t>
  </si>
  <si>
    <t>Banco de Dados</t>
  </si>
  <si>
    <t>D006</t>
  </si>
  <si>
    <t>Engenharia de Software</t>
  </si>
  <si>
    <t>D007</t>
  </si>
  <si>
    <t>Didática</t>
  </si>
  <si>
    <t>D008</t>
  </si>
  <si>
    <t>Psicologia da Educação</t>
  </si>
  <si>
    <t>D009</t>
  </si>
  <si>
    <t>Políticas Educacionais</t>
  </si>
  <si>
    <t>D010</t>
  </si>
  <si>
    <t>Cálculo Aplicado</t>
  </si>
  <si>
    <t>D011</t>
  </si>
  <si>
    <t>Gestão da Produção</t>
  </si>
  <si>
    <t>D012</t>
  </si>
  <si>
    <t>Pesquisa Operacional</t>
  </si>
  <si>
    <t>ID_Aluno</t>
  </si>
  <si>
    <t>Nome_Aluno</t>
  </si>
  <si>
    <t>Data_Nascimento</t>
  </si>
  <si>
    <t>Genero</t>
  </si>
  <si>
    <t>Email</t>
  </si>
  <si>
    <t>Data_Ingresso</t>
  </si>
  <si>
    <t>Status_Aluno</t>
  </si>
  <si>
    <t>A001</t>
  </si>
  <si>
    <t>Ana Silva</t>
  </si>
  <si>
    <t>Feminino</t>
  </si>
  <si>
    <t>ana.silva@faculdade.edu.br</t>
  </si>
  <si>
    <t>Trancado</t>
  </si>
  <si>
    <t>A002</t>
  </si>
  <si>
    <t>Bruno Santos</t>
  </si>
  <si>
    <t>Masculino</t>
  </si>
  <si>
    <t>bruno.santos@faculdade.edu.br</t>
  </si>
  <si>
    <t>Ativo</t>
  </si>
  <si>
    <t>A003</t>
  </si>
  <si>
    <t>Camila Oliveira</t>
  </si>
  <si>
    <t>camila.oliveira@faculdade.edu.br</t>
  </si>
  <si>
    <t>A004</t>
  </si>
  <si>
    <t>Daniel Souza</t>
  </si>
  <si>
    <t>daniel.souza@faculdade.edu.br</t>
  </si>
  <si>
    <t>A005</t>
  </si>
  <si>
    <t>Eduarda Lima</t>
  </si>
  <si>
    <t>eduarda.lima@faculdade.edu.br</t>
  </si>
  <si>
    <t>A006</t>
  </si>
  <si>
    <t>Felipe Pereira</t>
  </si>
  <si>
    <t>felipe.pereira@faculdade.edu.br</t>
  </si>
  <si>
    <t>A007</t>
  </si>
  <si>
    <t>Gabriela Costa</t>
  </si>
  <si>
    <t>gabriela.costa@faculdade.edu.br</t>
  </si>
  <si>
    <t>A008</t>
  </si>
  <si>
    <t>Henrique Rodrigues</t>
  </si>
  <si>
    <t>henrique.rodrigues@faculdade.edu.br</t>
  </si>
  <si>
    <t>A009</t>
  </si>
  <si>
    <t>Isabela Almeida</t>
  </si>
  <si>
    <t>isabela.almeida@faculdade.edu.br</t>
  </si>
  <si>
    <t>A010</t>
  </si>
  <si>
    <t>João Nascimento</t>
  </si>
  <si>
    <t>joao.nascimento@faculdade.edu.br</t>
  </si>
  <si>
    <t>A011</t>
  </si>
  <si>
    <t>Karina Araújo</t>
  </si>
  <si>
    <t>karina.araújo@faculdade.edu.br</t>
  </si>
  <si>
    <t>A012</t>
  </si>
  <si>
    <t>Lucas Fernandes</t>
  </si>
  <si>
    <t>lucas.fernandes@faculdade.edu.br</t>
  </si>
  <si>
    <t>A013</t>
  </si>
  <si>
    <t>Mariana Carvalho</t>
  </si>
  <si>
    <t>mariana.carvalho@faculdade.edu.br</t>
  </si>
  <si>
    <t>A014</t>
  </si>
  <si>
    <t>Nicolas Gomes</t>
  </si>
  <si>
    <t>nicolas.gomes@faculdade.edu.br</t>
  </si>
  <si>
    <t>A015</t>
  </si>
  <si>
    <t>Olívia Martins</t>
  </si>
  <si>
    <t>olivia.martins@faculdade.edu.br</t>
  </si>
  <si>
    <t>A016</t>
  </si>
  <si>
    <t>Pedro Rocha</t>
  </si>
  <si>
    <t>pedro.rocha@faculdade.edu.br</t>
  </si>
  <si>
    <t>A017</t>
  </si>
  <si>
    <t>Queila Ribeiro</t>
  </si>
  <si>
    <t>queila.ribeiro@faculdade.edu.br</t>
  </si>
  <si>
    <t>A018</t>
  </si>
  <si>
    <t>Rafael Alves</t>
  </si>
  <si>
    <t>rafael.alves@faculdade.edu.br</t>
  </si>
  <si>
    <t>A019</t>
  </si>
  <si>
    <t>Sabrina Monteiro</t>
  </si>
  <si>
    <t>sabrina.monteiro@faculdade.edu.br</t>
  </si>
  <si>
    <t>A020</t>
  </si>
  <si>
    <t>Thiago Mendes</t>
  </si>
  <si>
    <t>thiago.mendes@faculdade.edu.br</t>
  </si>
  <si>
    <t>A021</t>
  </si>
  <si>
    <t>Úrsula Barbosa</t>
  </si>
  <si>
    <t>ursula.barbosa@faculdade.edu.br</t>
  </si>
  <si>
    <t>A022</t>
  </si>
  <si>
    <t>Vinícius Freitas</t>
  </si>
  <si>
    <t>vinicius.freitas@faculdade.edu.br</t>
  </si>
  <si>
    <t>A023</t>
  </si>
  <si>
    <t>Wagner Cardoso</t>
  </si>
  <si>
    <t>wagner.cardoso@faculdade.edu.br</t>
  </si>
  <si>
    <t>A024</t>
  </si>
  <si>
    <t>Yasmin Correia</t>
  </si>
  <si>
    <t>yasmin.correia@faculdade.edu.br</t>
  </si>
  <si>
    <t>A025</t>
  </si>
  <si>
    <t>André Teixeira</t>
  </si>
  <si>
    <t>andre.teixeira@faculdade.edu.br</t>
  </si>
  <si>
    <t>A026</t>
  </si>
  <si>
    <t>Beatriz Moura</t>
  </si>
  <si>
    <t>beatriz.moura@faculdade.edu.br</t>
  </si>
  <si>
    <t>A027</t>
  </si>
  <si>
    <t>Caio Castro</t>
  </si>
  <si>
    <t>caio.castro@faculdade.edu.br</t>
  </si>
  <si>
    <t>A028</t>
  </si>
  <si>
    <t>Débora Campos</t>
  </si>
  <si>
    <t>debora.campos@faculdade.edu.br</t>
  </si>
  <si>
    <t>A029</t>
  </si>
  <si>
    <t>Enzo Moreira</t>
  </si>
  <si>
    <t>enzo.moreira@faculdade.edu.br</t>
  </si>
  <si>
    <t>A030</t>
  </si>
  <si>
    <t>Fernanda Duarte</t>
  </si>
  <si>
    <t>fernanda.duarte@faculdade.edu.br</t>
  </si>
  <si>
    <t>ID_Matricula</t>
  </si>
  <si>
    <t>Data_Matricula</t>
  </si>
  <si>
    <t>Periodo</t>
  </si>
  <si>
    <t>Nota_1</t>
  </si>
  <si>
    <t>Nota_2</t>
  </si>
  <si>
    <t>Nota_Final</t>
  </si>
  <si>
    <t>Frequencia</t>
  </si>
  <si>
    <t>Situacao</t>
  </si>
  <si>
    <t>2025.1</t>
  </si>
  <si>
    <t>2025.2</t>
  </si>
  <si>
    <t>GUIA DE ANÁLISE NO POWER BI</t>
  </si>
  <si>
    <t>Relacionamentos, medidas DAX, configuração dos visuais e respostas do exercício</t>
  </si>
  <si>
    <t>A base segue um modelo relacional: Cursos e Disciplinas descrevem dimensões, Alunos identifica estudantes e Matriculas registra os eventos acadêmicos. Use filtros em direção única, do lado 1 para o lado muitos.</t>
  </si>
  <si>
    <t>MODELO E RELACIONAMENTOS</t>
  </si>
  <si>
    <t>Tabela (lado 1)</t>
  </si>
  <si>
    <t>Tabela (lado *)</t>
  </si>
  <si>
    <t>Chave / configuração</t>
  </si>
  <si>
    <t>Cursos[ID_Curso] → Alunos[ID_Curso] | 1:* | filtro único</t>
  </si>
  <si>
    <t>Cursos[ID_Curso] → Disciplinas[ID_Curso] | 1:* | filtro único</t>
  </si>
  <si>
    <t>Alunos[ID_Aluno] → Matriculas[ID_Aluno] | 1:* | filtro único</t>
  </si>
  <si>
    <t>Disciplinas[ID_Disciplina] → Matriculas[ID_Disciplina] | 1:* | filtro único</t>
  </si>
  <si>
    <t>MEDIDAS E VISUAIS</t>
  </si>
  <si>
    <t>Item</t>
  </si>
  <si>
    <t>DAX / campo</t>
  </si>
  <si>
    <t>Uso</t>
  </si>
  <si>
    <t>Qtd Alunos</t>
  </si>
  <si>
    <t>Qtd Alunos = DISTINCTCOUNT(Alunos[ID_Aluno])</t>
  </si>
  <si>
    <t>Gráfico de barras: Eixo = Cursos[Nome_Curso]; Valores = [Qtd Alunos]</t>
  </si>
  <si>
    <t>Qtd Matrículas</t>
  </si>
  <si>
    <t>Qtd Matrículas = COUNTROWS(Matriculas)</t>
  </si>
  <si>
    <t>Gráfico de barras: Eixo = Disciplinas[Nome_Disciplina]; Valores = [Qtd Matrículas]</t>
  </si>
  <si>
    <t>Validação</t>
  </si>
  <si>
    <t>Totais esperados: 30 alunos e 100 matrículas</t>
  </si>
  <si>
    <t>Os totais devem permanecer iguais sem filtros aplicados</t>
  </si>
  <si>
    <t>RESULTADOS CALCULADOS</t>
  </si>
  <si>
    <t>Curso</t>
  </si>
  <si>
    <t>Disciplina</t>
  </si>
  <si>
    <t>RESPOSTAS DO EXERCÍCIO</t>
  </si>
  <si>
    <t>a) Curso com mais alunos</t>
  </si>
  <si>
    <t>Empate: Administração e Sistemas de Informação, com 8 alunos cada.</t>
  </si>
  <si>
    <t>b) Disciplina com mais matrículas</t>
  </si>
  <si>
    <t>Empate: Fundamentos de Administração e Lógica de Programação, com 11 matrículas cada.</t>
  </si>
  <si>
    <t>c) Por que usar várias tabelas?</t>
  </si>
  <si>
    <t>Reduz duplicação, melhora a consistência e a manutenção, economiza espaço e permite análises flexíveis por meio dos relacionamentos. Esse desenho segue a lógica de um modelo estrela, mais adequado ao Power 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</si>
</sst>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rgb="FF262626"/>
      <name val="Aptos Narrow"/>
      <family val="2"/>
      <scheme val="minor"/>
    </font>
    <font>
      <b/>
      <sz val="11"/>
      <color rgb="FF262626"/>
      <name val="Aptos Narrow"/>
      <family val="2"/>
      <scheme val="minor"/>
    </font>
    <font>
      <b/>
      <sz val="18"/>
      <color rgb="FF262626"/>
      <name val="Aptos Narrow"/>
      <family val="2"/>
      <scheme val="minor"/>
    </font>
    <font>
      <i/>
      <sz val="10"/>
      <color rgb="FF26262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262626"/>
      </top>
      <bottom style="thin">
        <color rgb="FFBFBFBF"/>
      </bottom>
      <diagonal/>
    </border>
    <border>
      <left/>
      <right/>
      <top/>
      <bottom style="thin">
        <color rgb="FF26262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164" fontId="1" fillId="2" borderId="0" xfId="0" applyNumberFormat="1" applyFont="1" applyFill="1"/>
    <xf numFmtId="164" fontId="1" fillId="2" borderId="2" xfId="0" applyNumberFormat="1" applyFont="1" applyFill="1" applyBorder="1"/>
    <xf numFmtId="49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49" fontId="1" fillId="2" borderId="2" xfId="0" applyNumberFormat="1" applyFont="1" applyFill="1" applyBorder="1"/>
    <xf numFmtId="165" fontId="1" fillId="2" borderId="2" xfId="0" applyNumberFormat="1" applyFont="1" applyFill="1" applyBorder="1"/>
    <xf numFmtId="166" fontId="1" fillId="2" borderId="2" xfId="0" applyNumberFormat="1" applyFont="1" applyFill="1" applyBorder="1"/>
    <xf numFmtId="49" fontId="1" fillId="2" borderId="0" xfId="0" quotePrefix="1" applyNumberFormat="1" applyFont="1" applyFill="1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Font="1"/>
  </cellXfs>
  <cellStyles count="1">
    <cellStyle name="Normal" xfId="0" builtinId="0"/>
  </cellStyles>
  <dxfs count="54">
    <dxf>
      <font>
        <strike val="0"/>
        <outline val="0"/>
        <shadow val="0"/>
        <u val="none"/>
        <vertAlign val="baseline"/>
        <sz val="11"/>
        <color rgb="FF262626"/>
        <name val="Aptos Narrow"/>
        <family val="2"/>
        <scheme val="minor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numFmt numFmtId="166" formatCode="0.0%"/>
      <fill>
        <patternFill patternType="solid">
          <fgColor indexed="64"/>
          <bgColor rgb="FFFFFFFF"/>
        </patternFill>
      </fill>
    </dxf>
    <dxf>
      <font>
        <color rgb="FF262626"/>
      </font>
      <numFmt numFmtId="165" formatCode="0.0"/>
      <fill>
        <patternFill patternType="solid">
          <fgColor indexed="64"/>
          <bgColor rgb="FFFFFFFF"/>
        </patternFill>
      </fill>
    </dxf>
    <dxf>
      <font>
        <color rgb="FF262626"/>
      </font>
      <numFmt numFmtId="165" formatCode="0.0"/>
      <fill>
        <patternFill patternType="solid">
          <fgColor indexed="64"/>
          <bgColor rgb="FFFFFFFF"/>
        </patternFill>
      </fill>
    </dxf>
    <dxf>
      <font>
        <color rgb="FF262626"/>
      </font>
      <numFmt numFmtId="165" formatCode="0.0"/>
      <fill>
        <patternFill patternType="solid">
          <fgColor indexed="64"/>
          <bgColor rgb="FFFFFFFF"/>
        </patternFill>
      </fill>
    </dxf>
    <dxf>
      <font>
        <color rgb="FF262626"/>
      </font>
      <numFmt numFmtId="30" formatCode="@"/>
      <fill>
        <patternFill patternType="solid">
          <fgColor indexed="64"/>
          <bgColor rgb="FFFFFFFF"/>
        </patternFill>
      </fill>
    </dxf>
    <dxf>
      <font>
        <color rgb="FF262626"/>
      </font>
      <numFmt numFmtId="164" formatCode="yyyy\-mm\-dd"/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numFmt numFmtId="164" formatCode="yyyy\-mm\-dd"/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numFmt numFmtId="164" formatCode="yyyy\-mm\-dd"/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font>
        <color rgb="FF262626"/>
      </font>
      <fill>
        <patternFill patternType="solid">
          <fgColor indexed="64"/>
          <bgColor rgb="FFFFFFFF"/>
        </patternFill>
      </fill>
    </dxf>
    <dxf>
      <border>
        <bottom style="thin">
          <color rgb="FFBFBFBF"/>
        </bottom>
      </border>
    </dxf>
    <dxf>
      <font>
        <b/>
        <color rgb="FF262626"/>
      </font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72DCB0-CD71-4FAD-938A-CF1A350B5E79}" name="tblResumoCursos" displayName="tblResumoCursos" ref="A20:C24" totalsRowShown="0" headerRowDxfId="53" dataDxfId="51" headerRowBorderDxfId="52">
  <autoFilter ref="A20:C24" xr:uid="{9472DCB0-CD71-4FAD-938A-CF1A350B5E79}"/>
  <tableColumns count="3">
    <tableColumn id="1" xr3:uid="{1DB2679C-FD7A-4404-AD30-9FD4C9AE567A}" name="ID_Curso" dataDxfId="50"/>
    <tableColumn id="2" xr3:uid="{F26EB694-1E21-499F-94BC-10E4334DEBAD}" name="Curso" dataDxfId="49"/>
    <tableColumn id="3" xr3:uid="{B04CF917-3B39-4CE1-B26B-11733DE392ED}" name="Qtd Alunos" dataDxfId="48">
      <calculatedColumnFormula>COUNTIF(tblAlunos[ID_Curso],A21)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20B2A3-7C97-4A18-858F-FCFC64644FD4}" name="tblResumoDisciplinas" displayName="tblResumoDisciplinas" ref="E20:G32" totalsRowShown="0" headerRowDxfId="47" dataDxfId="45" headerRowBorderDxfId="46">
  <autoFilter ref="E20:G32" xr:uid="{B120B2A3-7C97-4A18-858F-FCFC64644FD4}"/>
  <tableColumns count="3">
    <tableColumn id="1" xr3:uid="{3A9394B5-A8DC-4836-B92E-219A7A4CD73A}" name="ID_Disciplina" dataDxfId="44"/>
    <tableColumn id="2" xr3:uid="{20A98152-7D97-4D82-9DD3-015CDCC25760}" name="Disciplina" dataDxfId="43"/>
    <tableColumn id="3" xr3:uid="{4BE96B02-76C9-4C48-8AB1-6BFBE0FA988C}" name="Qtd Matrículas" dataDxfId="42">
      <calculatedColumnFormula>COUNTIF(tblMatriculas[ID_Disciplina],E21)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47B93-FC96-4A56-9544-076348FB07CD}" name="tblAlunos" displayName="tblAlunos" ref="A1:H31" totalsRowShown="0" headerRowDxfId="41" dataDxfId="39" headerRowBorderDxfId="40">
  <autoFilter ref="A1:H31" xr:uid="{AB447B93-FC96-4A56-9544-076348FB07CD}"/>
  <tableColumns count="8">
    <tableColumn id="1" xr3:uid="{EC1D1559-8E0A-487B-B79A-5D1276944A6A}" name="ID_Aluno" dataDxfId="38"/>
    <tableColumn id="2" xr3:uid="{15D2C90C-D0F9-4D92-AD67-EE8DFE170EAE}" name="Nome_Aluno" dataDxfId="37"/>
    <tableColumn id="3" xr3:uid="{71BBF33A-AC12-4461-9A6C-9EEE06AEFAC2}" name="Data_Nascimento" dataDxfId="36"/>
    <tableColumn id="4" xr3:uid="{117AE08D-D8C7-4669-B88F-4DCDAFF25FBA}" name="Genero" dataDxfId="35"/>
    <tableColumn id="5" xr3:uid="{21F80B20-87C2-4314-BAFE-DD18DA4193B6}" name="Email" dataDxfId="34"/>
    <tableColumn id="6" xr3:uid="{3C48AE71-5EA7-4355-9BB1-9F6A3EB1A126}" name="ID_Curso" dataDxfId="33"/>
    <tableColumn id="7" xr3:uid="{A3482DD2-9310-4892-953B-7D44A801F0D4}" name="Data_Ingresso" dataDxfId="32"/>
    <tableColumn id="8" xr3:uid="{82DBE7BA-86FA-43AD-8D9C-155B0187BAEB}" name="Status_Aluno" dataDxfId="31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48E9B-6C6F-4D0F-92D3-752BDBA0AD56}" name="tblCursos" displayName="tblCursos" ref="A1:F5" totalsRowShown="0" headerRowDxfId="30" dataDxfId="28" headerRowBorderDxfId="29">
  <autoFilter ref="A1:F5" xr:uid="{C8448E9B-6C6F-4D0F-92D3-752BDBA0AD56}"/>
  <tableColumns count="6">
    <tableColumn id="1" xr3:uid="{3A9E0C0F-AA65-440E-ADED-CCFA54C20965}" name="ID_Curso" dataDxfId="27"/>
    <tableColumn id="2" xr3:uid="{632B4725-6221-4669-9846-B2EEDB99E9F3}" name="Nome_Curso" dataDxfId="26"/>
    <tableColumn id="3" xr3:uid="{293C7988-5F1F-456B-925D-ECFC875C61B5}" name="Area_Conhecimento" dataDxfId="25"/>
    <tableColumn id="4" xr3:uid="{29BF94EB-3AEE-41B5-A439-7DD8CFE50A94}" name="Duracao_Semestres" dataDxfId="24"/>
    <tableColumn id="5" xr3:uid="{D71AC7E3-4E85-4EF1-B09C-3980612736F2}" name="Modalidade" dataDxfId="23"/>
    <tableColumn id="6" xr3:uid="{936BFA4E-C7D1-4309-A778-78500BD8DBF8}" name="Coordenador" dataDxfId="22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F7C96-5A0B-4E4F-9558-57E1B139F3C0}" name="tblDisciplinas" displayName="tblDisciplinas" ref="A1:F13" totalsRowShown="0" headerRowDxfId="21" dataDxfId="19" headerRowBorderDxfId="20">
  <autoFilter ref="A1:F13" xr:uid="{190F7C96-5A0B-4E4F-9558-57E1B139F3C0}"/>
  <tableColumns count="6">
    <tableColumn id="1" xr3:uid="{A8C0F54F-3E28-40F5-BC75-AD7223257D52}" name="ID_Disciplina" dataDxfId="0"/>
    <tableColumn id="2" xr3:uid="{C1A7468C-D67B-489C-BED2-3B55FCE8C513}" name="ID_Curso" dataDxfId="1"/>
    <tableColumn id="3" xr3:uid="{1756C4ED-ED17-4DD8-9960-75ABA4AC8959}" name="Nome_Disciplina" dataDxfId="18"/>
    <tableColumn id="4" xr3:uid="{ACFDED2B-FC26-4447-8CE0-4640B08CEB1A}" name="Carga_Horaria" dataDxfId="17"/>
    <tableColumn id="5" xr3:uid="{91FC6243-EC5A-4239-ADCC-4518D0C57A58}" name="Semestre_Recomendado" dataDxfId="16"/>
    <tableColumn id="6" xr3:uid="{43EB38BD-BCA2-4C11-A268-70004437AC75}" name="Tipo" dataDxfId="15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0B4628-95A4-4133-9FED-0B3051C9A68B}" name="tblMatriculas" displayName="tblMatriculas" ref="A1:J101" totalsRowShown="0" headerRowDxfId="14" dataDxfId="12" headerRowBorderDxfId="13">
  <autoFilter ref="A1:J101" xr:uid="{B90B4628-95A4-4133-9FED-0B3051C9A68B}"/>
  <tableColumns count="10">
    <tableColumn id="1" xr3:uid="{C7304BAC-9943-499E-9EF5-AD81096E82A4}" name="ID_Matricula" dataDxfId="11"/>
    <tableColumn id="2" xr3:uid="{8FBD1E4E-F82C-4C09-8BF2-C038D7E5069E}" name="ID_Aluno" dataDxfId="10"/>
    <tableColumn id="3" xr3:uid="{B82EF00A-D0F3-4172-9217-6498F2AFA697}" name="ID_Disciplina" dataDxfId="9"/>
    <tableColumn id="4" xr3:uid="{0D630720-2964-483D-9D4F-0545B5A1BEEB}" name="Data_Matricula" dataDxfId="8"/>
    <tableColumn id="5" xr3:uid="{901180D3-22EA-4E01-86D7-9DF64D73C751}" name="Periodo" dataDxfId="7"/>
    <tableColumn id="6" xr3:uid="{0722742D-1004-4264-93E2-E1C7E62A6D7F}" name="Nota_1" dataDxfId="6"/>
    <tableColumn id="7" xr3:uid="{1FA92BCC-FEAE-41C9-AC95-2934432FE205}" name="Nota_2" dataDxfId="5"/>
    <tableColumn id="8" xr3:uid="{304BFC15-3F8C-41AA-852E-99DA82A8DC21}" name="Nota_Final" dataDxfId="4">
      <calculatedColumnFormula>ROUND(AVERAGE(F2:G2),1)</calculatedColumnFormula>
    </tableColumn>
    <tableColumn id="9" xr3:uid="{847D09EB-5074-449B-A7BD-0FA6D17FF1D1}" name="Frequencia" dataDxfId="3"/>
    <tableColumn id="10" xr3:uid="{362F455B-62A3-4426-8685-28C7D796D68E}" name="Situacao" dataDxfId="2">
      <calculatedColumnFormula>IF(I2&lt;75%,"Reprovado por frequência",IF(H2&gt;=6,"Aprovado","Reprovado por nota"))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9E11-2D58-4810-A944-16A62AA66E6E}">
  <dimension ref="A1:H38"/>
  <sheetViews>
    <sheetView showGridLines="0" workbookViewId="0">
      <selection activeCell="A13" sqref="A13:G13"/>
    </sheetView>
  </sheetViews>
  <sheetFormatPr defaultRowHeight="14.4" x14ac:dyDescent="0.3"/>
  <cols>
    <col min="1" max="1" width="22.21875" customWidth="1"/>
    <col min="2" max="3" width="37" customWidth="1"/>
    <col min="4" max="4" width="2.77734375" customWidth="1"/>
    <col min="5" max="5" width="13.88671875" customWidth="1"/>
    <col min="6" max="6" width="31.44140625" customWidth="1"/>
    <col min="7" max="7" width="13.88671875" customWidth="1"/>
  </cols>
  <sheetData>
    <row r="1" spans="1:8" ht="31.95" customHeight="1" x14ac:dyDescent="0.45">
      <c r="A1" s="18" t="s">
        <v>169</v>
      </c>
      <c r="B1" s="17"/>
      <c r="C1" s="17"/>
      <c r="D1" s="17"/>
      <c r="E1" s="17"/>
      <c r="F1" s="17"/>
      <c r="G1" s="17"/>
      <c r="H1" s="1"/>
    </row>
    <row r="2" spans="1:8" ht="22.05" customHeight="1" x14ac:dyDescent="0.3">
      <c r="A2" s="19" t="s">
        <v>170</v>
      </c>
      <c r="B2" s="20"/>
      <c r="C2" s="20"/>
      <c r="D2" s="20"/>
      <c r="E2" s="20"/>
      <c r="F2" s="20"/>
      <c r="G2" s="20"/>
      <c r="H2" s="1"/>
    </row>
    <row r="3" spans="1:8" x14ac:dyDescent="0.3">
      <c r="A3" s="2"/>
      <c r="B3" s="2"/>
      <c r="C3" s="2"/>
      <c r="D3" s="2"/>
      <c r="E3" s="2"/>
      <c r="F3" s="2"/>
      <c r="G3" s="2"/>
      <c r="H3" s="1"/>
    </row>
    <row r="4" spans="1:8" ht="45" customHeight="1" x14ac:dyDescent="0.3">
      <c r="A4" s="21" t="s">
        <v>171</v>
      </c>
      <c r="B4" s="21"/>
      <c r="C4" s="21"/>
      <c r="D4" s="21"/>
      <c r="E4" s="21"/>
      <c r="F4" s="21"/>
      <c r="G4" s="21"/>
      <c r="H4" s="1"/>
    </row>
    <row r="5" spans="1:8" x14ac:dyDescent="0.3">
      <c r="A5" s="2"/>
      <c r="B5" s="2"/>
      <c r="C5" s="2"/>
      <c r="D5" s="2"/>
      <c r="E5" s="2"/>
      <c r="F5" s="2"/>
      <c r="G5" s="2"/>
      <c r="H5" s="1"/>
    </row>
    <row r="6" spans="1:8" x14ac:dyDescent="0.3">
      <c r="A6" s="17" t="s">
        <v>172</v>
      </c>
      <c r="B6" s="17"/>
      <c r="C6" s="17"/>
      <c r="D6" s="17"/>
      <c r="E6" s="17"/>
      <c r="F6" s="17"/>
      <c r="G6" s="17"/>
      <c r="H6" s="1"/>
    </row>
    <row r="7" spans="1:8" x14ac:dyDescent="0.3">
      <c r="A7" s="4" t="s">
        <v>173</v>
      </c>
      <c r="B7" s="4" t="s">
        <v>174</v>
      </c>
      <c r="C7" s="4" t="s">
        <v>175</v>
      </c>
      <c r="D7" s="2"/>
      <c r="E7" s="2"/>
      <c r="F7" s="2"/>
      <c r="G7" s="2"/>
      <c r="H7" s="1"/>
    </row>
    <row r="8" spans="1:8" ht="28.8" x14ac:dyDescent="0.3">
      <c r="A8" s="2" t="s">
        <v>1</v>
      </c>
      <c r="B8" s="2" t="s">
        <v>0</v>
      </c>
      <c r="C8" s="3" t="s">
        <v>176</v>
      </c>
      <c r="D8" s="2"/>
      <c r="E8" s="2"/>
      <c r="F8" s="2"/>
      <c r="G8" s="2"/>
      <c r="H8" s="1"/>
    </row>
    <row r="9" spans="1:8" ht="28.8" x14ac:dyDescent="0.3">
      <c r="A9" s="2" t="s">
        <v>1</v>
      </c>
      <c r="B9" s="2" t="s">
        <v>2</v>
      </c>
      <c r="C9" s="3" t="s">
        <v>177</v>
      </c>
      <c r="D9" s="2"/>
      <c r="E9" s="2"/>
      <c r="F9" s="2"/>
      <c r="G9" s="2"/>
      <c r="H9" s="1"/>
    </row>
    <row r="10" spans="1:8" ht="28.8" x14ac:dyDescent="0.3">
      <c r="A10" s="2" t="s">
        <v>0</v>
      </c>
      <c r="B10" s="2" t="s">
        <v>3</v>
      </c>
      <c r="C10" s="3" t="s">
        <v>178</v>
      </c>
      <c r="D10" s="2"/>
      <c r="E10" s="2"/>
      <c r="F10" s="2"/>
      <c r="G10" s="2"/>
      <c r="H10" s="1"/>
    </row>
    <row r="11" spans="1:8" ht="28.8" x14ac:dyDescent="0.3">
      <c r="A11" s="6" t="s">
        <v>2</v>
      </c>
      <c r="B11" s="6" t="s">
        <v>3</v>
      </c>
      <c r="C11" s="7" t="s">
        <v>179</v>
      </c>
      <c r="D11" s="2"/>
      <c r="E11" s="2"/>
      <c r="F11" s="2"/>
      <c r="G11" s="2"/>
      <c r="H11" s="1"/>
    </row>
    <row r="12" spans="1:8" x14ac:dyDescent="0.3">
      <c r="A12" s="2"/>
      <c r="B12" s="2"/>
      <c r="C12" s="2"/>
      <c r="D12" s="2"/>
      <c r="E12" s="2"/>
      <c r="F12" s="2"/>
      <c r="G12" s="2"/>
      <c r="H12" s="1"/>
    </row>
    <row r="13" spans="1:8" x14ac:dyDescent="0.3">
      <c r="A13" s="17" t="s">
        <v>180</v>
      </c>
      <c r="B13" s="17"/>
      <c r="C13" s="17"/>
      <c r="D13" s="17"/>
      <c r="E13" s="17"/>
      <c r="F13" s="17"/>
      <c r="G13" s="17"/>
      <c r="H13" s="1"/>
    </row>
    <row r="14" spans="1:8" x14ac:dyDescent="0.3">
      <c r="A14" s="4" t="s">
        <v>181</v>
      </c>
      <c r="B14" s="4" t="s">
        <v>182</v>
      </c>
      <c r="C14" s="4" t="s">
        <v>183</v>
      </c>
      <c r="D14" s="2"/>
      <c r="E14" s="2"/>
      <c r="F14" s="2"/>
      <c r="G14" s="2"/>
      <c r="H14" s="1"/>
    </row>
    <row r="15" spans="1:8" ht="43.2" x14ac:dyDescent="0.3">
      <c r="A15" s="2" t="s">
        <v>184</v>
      </c>
      <c r="B15" s="16" t="s">
        <v>185</v>
      </c>
      <c r="C15" s="3" t="s">
        <v>186</v>
      </c>
      <c r="D15" s="2"/>
      <c r="E15" s="2"/>
      <c r="F15" s="2"/>
      <c r="G15" s="2"/>
      <c r="H15" s="1"/>
    </row>
    <row r="16" spans="1:8" ht="43.2" x14ac:dyDescent="0.3">
      <c r="A16" s="2" t="s">
        <v>187</v>
      </c>
      <c r="B16" s="16" t="s">
        <v>188</v>
      </c>
      <c r="C16" s="3" t="s">
        <v>189</v>
      </c>
      <c r="D16" s="2"/>
      <c r="E16" s="2"/>
      <c r="F16" s="2"/>
      <c r="G16" s="2"/>
      <c r="H16" s="1"/>
    </row>
    <row r="17" spans="1:8" ht="28.8" x14ac:dyDescent="0.3">
      <c r="A17" s="6" t="s">
        <v>190</v>
      </c>
      <c r="B17" s="7" t="s">
        <v>191</v>
      </c>
      <c r="C17" s="7" t="s">
        <v>192</v>
      </c>
      <c r="D17" s="2"/>
      <c r="E17" s="2"/>
      <c r="F17" s="2"/>
      <c r="G17" s="2"/>
      <c r="H17" s="1"/>
    </row>
    <row r="18" spans="1:8" x14ac:dyDescent="0.3">
      <c r="A18" s="2"/>
      <c r="B18" s="2"/>
      <c r="C18" s="2"/>
      <c r="D18" s="2"/>
      <c r="E18" s="2"/>
      <c r="F18" s="2"/>
      <c r="G18" s="2"/>
      <c r="H18" s="1"/>
    </row>
    <row r="19" spans="1:8" x14ac:dyDescent="0.3">
      <c r="A19" s="17" t="s">
        <v>193</v>
      </c>
      <c r="B19" s="17"/>
      <c r="C19" s="17"/>
      <c r="D19" s="17"/>
      <c r="E19" s="17"/>
      <c r="F19" s="17"/>
      <c r="G19" s="17"/>
      <c r="H19" s="1"/>
    </row>
    <row r="20" spans="1:8" x14ac:dyDescent="0.3">
      <c r="A20" s="4" t="s">
        <v>4</v>
      </c>
      <c r="B20" s="4" t="s">
        <v>194</v>
      </c>
      <c r="C20" s="4" t="s">
        <v>184</v>
      </c>
      <c r="D20" s="2"/>
      <c r="E20" s="4" t="s">
        <v>28</v>
      </c>
      <c r="F20" s="4" t="s">
        <v>195</v>
      </c>
      <c r="G20" s="4" t="s">
        <v>187</v>
      </c>
      <c r="H20" s="1"/>
    </row>
    <row r="21" spans="1:8" x14ac:dyDescent="0.3">
      <c r="A21" s="2" t="s">
        <v>10</v>
      </c>
      <c r="B21" s="2" t="s">
        <v>11</v>
      </c>
      <c r="C21" s="2">
        <f>COUNTIF(tblAlunos[ID_Curso],A21)</f>
        <v>0</v>
      </c>
      <c r="D21" s="2"/>
      <c r="E21" s="2" t="s">
        <v>33</v>
      </c>
      <c r="F21" s="2" t="s">
        <v>34</v>
      </c>
      <c r="G21" s="2">
        <f>COUNTIF(tblMatriculas[ID_Disciplina],E21)</f>
        <v>0</v>
      </c>
      <c r="H21" s="1"/>
    </row>
    <row r="22" spans="1:8" x14ac:dyDescent="0.3">
      <c r="A22" s="2" t="s">
        <v>15</v>
      </c>
      <c r="B22" s="2" t="s">
        <v>16</v>
      </c>
      <c r="C22" s="2">
        <f>COUNTIF(tblAlunos[ID_Curso],A22)</f>
        <v>0</v>
      </c>
      <c r="D22" s="2"/>
      <c r="E22" s="2" t="s">
        <v>36</v>
      </c>
      <c r="F22" s="2" t="s">
        <v>37</v>
      </c>
      <c r="G22" s="2">
        <f>COUNTIF(tblMatriculas[ID_Disciplina],E22)</f>
        <v>0</v>
      </c>
      <c r="H22" s="1"/>
    </row>
    <row r="23" spans="1:8" x14ac:dyDescent="0.3">
      <c r="A23" s="2" t="s">
        <v>19</v>
      </c>
      <c r="B23" s="2" t="s">
        <v>20</v>
      </c>
      <c r="C23" s="2">
        <f>COUNTIF(tblAlunos[ID_Curso],A23)</f>
        <v>0</v>
      </c>
      <c r="D23" s="2"/>
      <c r="E23" s="2" t="s">
        <v>38</v>
      </c>
      <c r="F23" s="2" t="s">
        <v>39</v>
      </c>
      <c r="G23" s="2">
        <f>COUNTIF(tblMatriculas[ID_Disciplina],E23)</f>
        <v>0</v>
      </c>
      <c r="H23" s="1"/>
    </row>
    <row r="24" spans="1:8" x14ac:dyDescent="0.3">
      <c r="A24" s="6" t="s">
        <v>24</v>
      </c>
      <c r="B24" s="6" t="s">
        <v>25</v>
      </c>
      <c r="C24" s="6">
        <f>COUNTIF(tblAlunos[ID_Curso],A24)</f>
        <v>0</v>
      </c>
      <c r="D24" s="2"/>
      <c r="E24" s="2" t="s">
        <v>40</v>
      </c>
      <c r="F24" s="2" t="s">
        <v>41</v>
      </c>
      <c r="G24" s="2">
        <f>COUNTIF(tblMatriculas[ID_Disciplina],E24)</f>
        <v>0</v>
      </c>
      <c r="H24" s="1"/>
    </row>
    <row r="25" spans="1:8" x14ac:dyDescent="0.3">
      <c r="A25" s="2"/>
      <c r="B25" s="2"/>
      <c r="C25" s="2"/>
      <c r="D25" s="2"/>
      <c r="E25" s="2" t="s">
        <v>42</v>
      </c>
      <c r="F25" s="2" t="s">
        <v>43</v>
      </c>
      <c r="G25" s="2">
        <f>COUNTIF(tblMatriculas[ID_Disciplina],E25)</f>
        <v>0</v>
      </c>
      <c r="H25" s="1"/>
    </row>
    <row r="26" spans="1:8" x14ac:dyDescent="0.3">
      <c r="A26" s="2"/>
      <c r="B26" s="2"/>
      <c r="C26" s="2"/>
      <c r="D26" s="2"/>
      <c r="E26" s="2" t="s">
        <v>44</v>
      </c>
      <c r="F26" s="2" t="s">
        <v>45</v>
      </c>
      <c r="G26" s="2">
        <f>COUNTIF(tblMatriculas[ID_Disciplina],E26)</f>
        <v>0</v>
      </c>
      <c r="H26" s="1"/>
    </row>
    <row r="27" spans="1:8" x14ac:dyDescent="0.3">
      <c r="A27" s="2"/>
      <c r="B27" s="2"/>
      <c r="C27" s="2"/>
      <c r="D27" s="2"/>
      <c r="E27" s="2" t="s">
        <v>46</v>
      </c>
      <c r="F27" s="2" t="s">
        <v>47</v>
      </c>
      <c r="G27" s="2">
        <f>COUNTIF(tblMatriculas[ID_Disciplina],E27)</f>
        <v>0</v>
      </c>
      <c r="H27" s="1"/>
    </row>
    <row r="28" spans="1:8" x14ac:dyDescent="0.3">
      <c r="A28" s="2"/>
      <c r="B28" s="2"/>
      <c r="C28" s="2"/>
      <c r="D28" s="2"/>
      <c r="E28" s="2" t="s">
        <v>48</v>
      </c>
      <c r="F28" s="2" t="s">
        <v>49</v>
      </c>
      <c r="G28" s="2">
        <f>COUNTIF(tblMatriculas[ID_Disciplina],E28)</f>
        <v>0</v>
      </c>
      <c r="H28" s="1"/>
    </row>
    <row r="29" spans="1:8" x14ac:dyDescent="0.3">
      <c r="A29" s="2"/>
      <c r="B29" s="2"/>
      <c r="C29" s="2"/>
      <c r="D29" s="2"/>
      <c r="E29" s="2" t="s">
        <v>50</v>
      </c>
      <c r="F29" s="2" t="s">
        <v>51</v>
      </c>
      <c r="G29" s="2">
        <f>COUNTIF(tblMatriculas[ID_Disciplina],E29)</f>
        <v>0</v>
      </c>
      <c r="H29" s="1"/>
    </row>
    <row r="30" spans="1:8" x14ac:dyDescent="0.3">
      <c r="A30" s="2"/>
      <c r="B30" s="2"/>
      <c r="C30" s="2"/>
      <c r="D30" s="2"/>
      <c r="E30" s="2" t="s">
        <v>52</v>
      </c>
      <c r="F30" s="2" t="s">
        <v>53</v>
      </c>
      <c r="G30" s="2">
        <f>COUNTIF(tblMatriculas[ID_Disciplina],E30)</f>
        <v>0</v>
      </c>
      <c r="H30" s="1"/>
    </row>
    <row r="31" spans="1:8" x14ac:dyDescent="0.3">
      <c r="A31" s="2"/>
      <c r="B31" s="2"/>
      <c r="C31" s="2"/>
      <c r="D31" s="2"/>
      <c r="E31" s="2" t="s">
        <v>54</v>
      </c>
      <c r="F31" s="2" t="s">
        <v>55</v>
      </c>
      <c r="G31" s="2">
        <f>COUNTIF(tblMatriculas[ID_Disciplina],E31)</f>
        <v>0</v>
      </c>
      <c r="H31" s="1"/>
    </row>
    <row r="32" spans="1:8" x14ac:dyDescent="0.3">
      <c r="A32" s="2"/>
      <c r="B32" s="2"/>
      <c r="C32" s="2"/>
      <c r="D32" s="2"/>
      <c r="E32" s="6" t="s">
        <v>56</v>
      </c>
      <c r="F32" s="6" t="s">
        <v>57</v>
      </c>
      <c r="G32" s="6">
        <f>COUNTIF(tblMatriculas[ID_Disciplina],E32)</f>
        <v>0</v>
      </c>
      <c r="H32" s="1"/>
    </row>
    <row r="33" spans="1:8" x14ac:dyDescent="0.3">
      <c r="A33" s="2"/>
      <c r="B33" s="2"/>
      <c r="C33" s="2"/>
      <c r="D33" s="2"/>
      <c r="E33" s="2"/>
      <c r="F33" s="2"/>
      <c r="G33" s="2"/>
      <c r="H33" s="1"/>
    </row>
    <row r="34" spans="1:8" x14ac:dyDescent="0.3">
      <c r="A34" s="17" t="s">
        <v>196</v>
      </c>
      <c r="B34" s="17"/>
      <c r="C34" s="17"/>
      <c r="D34" s="17"/>
      <c r="E34" s="17"/>
      <c r="F34" s="17"/>
      <c r="G34" s="17"/>
      <c r="H34" s="1"/>
    </row>
    <row r="35" spans="1:8" ht="28.8" x14ac:dyDescent="0.3">
      <c r="A35" s="4" t="s">
        <v>197</v>
      </c>
      <c r="B35" s="5" t="s">
        <v>198</v>
      </c>
      <c r="C35" s="2"/>
      <c r="D35" s="2"/>
      <c r="E35" s="2"/>
      <c r="F35" s="2"/>
      <c r="G35" s="2"/>
      <c r="H35" s="1"/>
    </row>
    <row r="36" spans="1:8" ht="43.2" x14ac:dyDescent="0.3">
      <c r="A36" s="2" t="s">
        <v>199</v>
      </c>
      <c r="B36" s="3" t="s">
        <v>200</v>
      </c>
      <c r="C36" s="2"/>
      <c r="D36" s="2"/>
      <c r="E36" s="2"/>
      <c r="F36" s="2"/>
      <c r="G36" s="2"/>
      <c r="H36" s="1"/>
    </row>
    <row r="37" spans="1:8" ht="86.4" x14ac:dyDescent="0.3">
      <c r="A37" s="6" t="s">
        <v>201</v>
      </c>
      <c r="B37" s="7" t="s">
        <v>202</v>
      </c>
      <c r="C37" s="2"/>
      <c r="D37" s="2"/>
      <c r="E37" s="2"/>
      <c r="F37" s="2"/>
      <c r="G37" s="2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</sheetData>
  <mergeCells count="7">
    <mergeCell ref="A34:G34"/>
    <mergeCell ref="A1:G1"/>
    <mergeCell ref="A2:G2"/>
    <mergeCell ref="A4:G4"/>
    <mergeCell ref="A6:G6"/>
    <mergeCell ref="A13:G13"/>
    <mergeCell ref="A19:G19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3C05-93F5-4CF5-A6A2-915086359316}">
  <dimension ref="A1:I32"/>
  <sheetViews>
    <sheetView showGridLines="0" tabSelected="1" workbookViewId="0">
      <selection activeCell="F32" sqref="F32"/>
    </sheetView>
  </sheetViews>
  <sheetFormatPr defaultRowHeight="14.4" x14ac:dyDescent="0.3"/>
  <cols>
    <col min="1" max="1" width="15.77734375" customWidth="1"/>
    <col min="2" max="2" width="24.109375" customWidth="1"/>
    <col min="3" max="3" width="17.5546875" customWidth="1"/>
    <col min="4" max="4" width="14.77734375" customWidth="1"/>
    <col min="5" max="5" width="37" customWidth="1"/>
    <col min="6" max="8" width="16.6640625" customWidth="1"/>
  </cols>
  <sheetData>
    <row r="1" spans="1:9" x14ac:dyDescent="0.3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4</v>
      </c>
      <c r="G1" s="4" t="s">
        <v>63</v>
      </c>
      <c r="H1" s="4" t="s">
        <v>64</v>
      </c>
      <c r="I1" s="1"/>
    </row>
    <row r="2" spans="1:9" x14ac:dyDescent="0.3">
      <c r="A2" s="2">
        <v>1</v>
      </c>
      <c r="B2" s="2" t="s">
        <v>66</v>
      </c>
      <c r="C2" s="8">
        <v>35796</v>
      </c>
      <c r="D2" s="2" t="s">
        <v>67</v>
      </c>
      <c r="E2" s="2" t="s">
        <v>68</v>
      </c>
      <c r="F2" s="2">
        <v>1</v>
      </c>
      <c r="G2" s="8">
        <v>45327</v>
      </c>
      <c r="H2" s="2" t="s">
        <v>69</v>
      </c>
      <c r="I2" s="1"/>
    </row>
    <row r="3" spans="1:9" x14ac:dyDescent="0.3">
      <c r="A3" s="2">
        <v>2</v>
      </c>
      <c r="B3" s="2" t="s">
        <v>71</v>
      </c>
      <c r="C3" s="8">
        <v>36195</v>
      </c>
      <c r="D3" s="2" t="s">
        <v>72</v>
      </c>
      <c r="E3" s="2" t="s">
        <v>73</v>
      </c>
      <c r="F3" s="2">
        <v>2</v>
      </c>
      <c r="G3" s="8">
        <v>45722</v>
      </c>
      <c r="H3" s="2" t="s">
        <v>74</v>
      </c>
      <c r="I3" s="1"/>
    </row>
    <row r="4" spans="1:9" x14ac:dyDescent="0.3">
      <c r="A4" s="2">
        <v>3</v>
      </c>
      <c r="B4" s="2" t="s">
        <v>76</v>
      </c>
      <c r="C4" s="8">
        <v>36592</v>
      </c>
      <c r="D4" s="2" t="s">
        <v>67</v>
      </c>
      <c r="E4" s="2" t="s">
        <v>77</v>
      </c>
      <c r="F4" s="2">
        <v>3</v>
      </c>
      <c r="G4" s="8">
        <v>45389</v>
      </c>
      <c r="H4" s="2" t="s">
        <v>74</v>
      </c>
      <c r="I4" s="1"/>
    </row>
    <row r="5" spans="1:9" x14ac:dyDescent="0.3">
      <c r="A5" s="2">
        <v>4</v>
      </c>
      <c r="B5" s="2" t="s">
        <v>79</v>
      </c>
      <c r="C5" s="8">
        <v>36991</v>
      </c>
      <c r="D5" s="2" t="s">
        <v>72</v>
      </c>
      <c r="E5" s="2" t="s">
        <v>80</v>
      </c>
      <c r="F5" s="2">
        <v>4</v>
      </c>
      <c r="G5" s="8">
        <v>45785</v>
      </c>
      <c r="H5" s="2" t="s">
        <v>74</v>
      </c>
      <c r="I5" s="1"/>
    </row>
    <row r="6" spans="1:9" x14ac:dyDescent="0.3">
      <c r="A6" s="2">
        <v>5</v>
      </c>
      <c r="B6" s="2" t="s">
        <v>82</v>
      </c>
      <c r="C6" s="8">
        <v>37389</v>
      </c>
      <c r="D6" s="2" t="s">
        <v>67</v>
      </c>
      <c r="E6" s="2" t="s">
        <v>83</v>
      </c>
      <c r="F6" s="2">
        <v>1</v>
      </c>
      <c r="G6" s="8">
        <v>45452</v>
      </c>
      <c r="H6" s="2" t="s">
        <v>74</v>
      </c>
      <c r="I6" s="1"/>
    </row>
    <row r="7" spans="1:9" x14ac:dyDescent="0.3">
      <c r="A7" s="2">
        <v>6</v>
      </c>
      <c r="B7" s="2" t="s">
        <v>85</v>
      </c>
      <c r="C7" s="8">
        <v>37788</v>
      </c>
      <c r="D7" s="2" t="s">
        <v>72</v>
      </c>
      <c r="E7" s="2" t="s">
        <v>86</v>
      </c>
      <c r="F7" s="2">
        <v>2</v>
      </c>
      <c r="G7" s="8">
        <v>45848</v>
      </c>
      <c r="H7" s="2" t="s">
        <v>74</v>
      </c>
      <c r="I7" s="1"/>
    </row>
    <row r="8" spans="1:9" x14ac:dyDescent="0.3">
      <c r="A8" s="2">
        <v>7</v>
      </c>
      <c r="B8" s="2" t="s">
        <v>88</v>
      </c>
      <c r="C8" s="8">
        <v>38187</v>
      </c>
      <c r="D8" s="2" t="s">
        <v>67</v>
      </c>
      <c r="E8" s="2" t="s">
        <v>89</v>
      </c>
      <c r="F8" s="2">
        <v>3</v>
      </c>
      <c r="G8" s="8">
        <v>45333</v>
      </c>
      <c r="H8" s="2" t="s">
        <v>74</v>
      </c>
      <c r="I8" s="1"/>
    </row>
    <row r="9" spans="1:9" x14ac:dyDescent="0.3">
      <c r="A9" s="2">
        <v>8</v>
      </c>
      <c r="B9" s="2" t="s">
        <v>91</v>
      </c>
      <c r="C9" s="8">
        <v>36029</v>
      </c>
      <c r="D9" s="2" t="s">
        <v>72</v>
      </c>
      <c r="E9" s="2" t="s">
        <v>92</v>
      </c>
      <c r="F9" s="2">
        <v>4</v>
      </c>
      <c r="G9" s="8">
        <v>45728</v>
      </c>
      <c r="H9" s="2" t="s">
        <v>74</v>
      </c>
      <c r="I9" s="1"/>
    </row>
    <row r="10" spans="1:9" x14ac:dyDescent="0.3">
      <c r="A10" s="2">
        <v>9</v>
      </c>
      <c r="B10" s="2" t="s">
        <v>94</v>
      </c>
      <c r="C10" s="8">
        <v>36428</v>
      </c>
      <c r="D10" s="2" t="s">
        <v>67</v>
      </c>
      <c r="E10" s="2" t="s">
        <v>95</v>
      </c>
      <c r="F10" s="2">
        <v>1</v>
      </c>
      <c r="G10" s="8">
        <v>45395</v>
      </c>
      <c r="H10" s="2" t="s">
        <v>74</v>
      </c>
      <c r="I10" s="1"/>
    </row>
    <row r="11" spans="1:9" x14ac:dyDescent="0.3">
      <c r="A11" s="2">
        <v>10</v>
      </c>
      <c r="B11" s="2" t="s">
        <v>97</v>
      </c>
      <c r="C11" s="8">
        <v>36800</v>
      </c>
      <c r="D11" s="2" t="s">
        <v>72</v>
      </c>
      <c r="E11" s="2" t="s">
        <v>98</v>
      </c>
      <c r="F11" s="2">
        <v>2</v>
      </c>
      <c r="G11" s="8">
        <v>45791</v>
      </c>
      <c r="H11" s="2" t="s">
        <v>74</v>
      </c>
      <c r="I11" s="1"/>
    </row>
    <row r="12" spans="1:9" x14ac:dyDescent="0.3">
      <c r="A12" s="2">
        <v>11</v>
      </c>
      <c r="B12" s="2" t="s">
        <v>100</v>
      </c>
      <c r="C12" s="8">
        <v>37199</v>
      </c>
      <c r="D12" s="2" t="s">
        <v>67</v>
      </c>
      <c r="E12" s="2" t="s">
        <v>101</v>
      </c>
      <c r="F12" s="2">
        <v>3</v>
      </c>
      <c r="G12" s="8">
        <v>45458</v>
      </c>
      <c r="H12" s="2" t="s">
        <v>74</v>
      </c>
      <c r="I12" s="1"/>
    </row>
    <row r="13" spans="1:9" x14ac:dyDescent="0.3">
      <c r="A13" s="2">
        <v>12</v>
      </c>
      <c r="B13" s="2" t="s">
        <v>103</v>
      </c>
      <c r="C13" s="8">
        <v>37597</v>
      </c>
      <c r="D13" s="2" t="s">
        <v>72</v>
      </c>
      <c r="E13" s="2" t="s">
        <v>104</v>
      </c>
      <c r="F13" s="2">
        <v>4</v>
      </c>
      <c r="G13" s="8">
        <v>45854</v>
      </c>
      <c r="H13" s="2" t="s">
        <v>69</v>
      </c>
      <c r="I13" s="1"/>
    </row>
    <row r="14" spans="1:9" x14ac:dyDescent="0.3">
      <c r="A14" s="2">
        <v>13</v>
      </c>
      <c r="B14" s="2" t="s">
        <v>106</v>
      </c>
      <c r="C14" s="8">
        <v>37631</v>
      </c>
      <c r="D14" s="2" t="s">
        <v>67</v>
      </c>
      <c r="E14" s="2" t="s">
        <v>107</v>
      </c>
      <c r="F14" s="2">
        <v>1</v>
      </c>
      <c r="G14" s="8">
        <v>45339</v>
      </c>
      <c r="H14" s="2" t="s">
        <v>74</v>
      </c>
      <c r="I14" s="1"/>
    </row>
    <row r="15" spans="1:9" x14ac:dyDescent="0.3">
      <c r="A15" s="2">
        <v>14</v>
      </c>
      <c r="B15" s="2" t="s">
        <v>109</v>
      </c>
      <c r="C15" s="8">
        <v>38030</v>
      </c>
      <c r="D15" s="2" t="s">
        <v>72</v>
      </c>
      <c r="E15" s="2" t="s">
        <v>110</v>
      </c>
      <c r="F15" s="2">
        <v>2</v>
      </c>
      <c r="G15" s="8">
        <v>45734</v>
      </c>
      <c r="H15" s="2" t="s">
        <v>74</v>
      </c>
      <c r="I15" s="1"/>
    </row>
    <row r="16" spans="1:9" x14ac:dyDescent="0.3">
      <c r="A16" s="2">
        <v>15</v>
      </c>
      <c r="B16" s="2" t="s">
        <v>112</v>
      </c>
      <c r="C16" s="8">
        <v>35870</v>
      </c>
      <c r="D16" s="2" t="s">
        <v>67</v>
      </c>
      <c r="E16" s="2" t="s">
        <v>113</v>
      </c>
      <c r="F16" s="2">
        <v>3</v>
      </c>
      <c r="G16" s="8">
        <v>45401</v>
      </c>
      <c r="H16" s="2" t="s">
        <v>74</v>
      </c>
      <c r="I16" s="1"/>
    </row>
    <row r="17" spans="1:9" x14ac:dyDescent="0.3">
      <c r="A17" s="2">
        <v>16</v>
      </c>
      <c r="B17" s="2" t="s">
        <v>115</v>
      </c>
      <c r="C17" s="8">
        <v>36269</v>
      </c>
      <c r="D17" s="2" t="s">
        <v>72</v>
      </c>
      <c r="E17" s="2" t="s">
        <v>116</v>
      </c>
      <c r="F17" s="2">
        <v>4</v>
      </c>
      <c r="G17" s="8">
        <v>45797</v>
      </c>
      <c r="H17" s="2" t="s">
        <v>74</v>
      </c>
      <c r="I17" s="1"/>
    </row>
    <row r="18" spans="1:9" x14ac:dyDescent="0.3">
      <c r="A18" s="2">
        <v>17</v>
      </c>
      <c r="B18" s="2" t="s">
        <v>118</v>
      </c>
      <c r="C18" s="8">
        <v>36668</v>
      </c>
      <c r="D18" s="2" t="s">
        <v>67</v>
      </c>
      <c r="E18" s="2" t="s">
        <v>119</v>
      </c>
      <c r="F18" s="2">
        <v>1</v>
      </c>
      <c r="G18" s="8">
        <v>45464</v>
      </c>
      <c r="H18" s="2" t="s">
        <v>74</v>
      </c>
      <c r="I18" s="1"/>
    </row>
    <row r="19" spans="1:9" x14ac:dyDescent="0.3">
      <c r="A19" s="2">
        <v>18</v>
      </c>
      <c r="B19" s="2" t="s">
        <v>121</v>
      </c>
      <c r="C19" s="8">
        <v>37067</v>
      </c>
      <c r="D19" s="2" t="s">
        <v>72</v>
      </c>
      <c r="E19" s="2" t="s">
        <v>122</v>
      </c>
      <c r="F19" s="2">
        <v>2</v>
      </c>
      <c r="G19" s="8">
        <v>45860</v>
      </c>
      <c r="H19" s="2" t="s">
        <v>74</v>
      </c>
      <c r="I19" s="1"/>
    </row>
    <row r="20" spans="1:9" x14ac:dyDescent="0.3">
      <c r="A20" s="2">
        <v>19</v>
      </c>
      <c r="B20" s="2" t="s">
        <v>124</v>
      </c>
      <c r="C20" s="8">
        <v>37438</v>
      </c>
      <c r="D20" s="2" t="s">
        <v>67</v>
      </c>
      <c r="E20" s="2" t="s">
        <v>125</v>
      </c>
      <c r="F20" s="2">
        <v>3</v>
      </c>
      <c r="G20" s="8">
        <v>45345</v>
      </c>
      <c r="H20" s="2" t="s">
        <v>74</v>
      </c>
      <c r="I20" s="1"/>
    </row>
    <row r="21" spans="1:9" x14ac:dyDescent="0.3">
      <c r="A21" s="2">
        <v>20</v>
      </c>
      <c r="B21" s="2" t="s">
        <v>127</v>
      </c>
      <c r="C21" s="8">
        <v>37837</v>
      </c>
      <c r="D21" s="2" t="s">
        <v>72</v>
      </c>
      <c r="E21" s="2" t="s">
        <v>128</v>
      </c>
      <c r="F21" s="2">
        <v>4</v>
      </c>
      <c r="G21" s="8">
        <v>45740</v>
      </c>
      <c r="H21" s="2" t="s">
        <v>74</v>
      </c>
      <c r="I21" s="1"/>
    </row>
    <row r="22" spans="1:9" x14ac:dyDescent="0.3">
      <c r="A22" s="2">
        <v>21</v>
      </c>
      <c r="B22" s="2" t="s">
        <v>130</v>
      </c>
      <c r="C22" s="8">
        <v>38237</v>
      </c>
      <c r="D22" s="2" t="s">
        <v>67</v>
      </c>
      <c r="E22" s="2" t="s">
        <v>131</v>
      </c>
      <c r="F22" s="2">
        <v>1</v>
      </c>
      <c r="G22" s="8">
        <v>45387</v>
      </c>
      <c r="H22" s="2" t="s">
        <v>74</v>
      </c>
      <c r="I22" s="1"/>
    </row>
    <row r="23" spans="1:9" x14ac:dyDescent="0.3">
      <c r="A23" s="2">
        <v>22</v>
      </c>
      <c r="B23" s="2" t="s">
        <v>133</v>
      </c>
      <c r="C23" s="8">
        <v>36078</v>
      </c>
      <c r="D23" s="2" t="s">
        <v>72</v>
      </c>
      <c r="E23" s="2" t="s">
        <v>134</v>
      </c>
      <c r="F23" s="2">
        <v>2</v>
      </c>
      <c r="G23" s="8">
        <v>45783</v>
      </c>
      <c r="H23" s="2" t="s">
        <v>74</v>
      </c>
      <c r="I23" s="1"/>
    </row>
    <row r="24" spans="1:9" x14ac:dyDescent="0.3">
      <c r="A24" s="2">
        <v>23</v>
      </c>
      <c r="B24" s="2" t="s">
        <v>136</v>
      </c>
      <c r="C24" s="8">
        <v>36477</v>
      </c>
      <c r="D24" s="2" t="s">
        <v>67</v>
      </c>
      <c r="E24" s="2" t="s">
        <v>137</v>
      </c>
      <c r="F24" s="2">
        <v>3</v>
      </c>
      <c r="G24" s="8">
        <v>45450</v>
      </c>
      <c r="H24" s="2" t="s">
        <v>69</v>
      </c>
      <c r="I24" s="1"/>
    </row>
    <row r="25" spans="1:9" x14ac:dyDescent="0.3">
      <c r="A25" s="2">
        <v>24</v>
      </c>
      <c r="B25" s="2" t="s">
        <v>139</v>
      </c>
      <c r="C25" s="8">
        <v>36876</v>
      </c>
      <c r="D25" s="2" t="s">
        <v>72</v>
      </c>
      <c r="E25" s="2" t="s">
        <v>140</v>
      </c>
      <c r="F25" s="2">
        <v>4</v>
      </c>
      <c r="G25" s="8">
        <v>45846</v>
      </c>
      <c r="H25" s="2" t="s">
        <v>74</v>
      </c>
      <c r="I25" s="1"/>
    </row>
    <row r="26" spans="1:9" x14ac:dyDescent="0.3">
      <c r="A26" s="2">
        <v>25</v>
      </c>
      <c r="B26" s="2" t="s">
        <v>142</v>
      </c>
      <c r="C26" s="8">
        <v>36910</v>
      </c>
      <c r="D26" s="2" t="s">
        <v>67</v>
      </c>
      <c r="E26" s="2" t="s">
        <v>143</v>
      </c>
      <c r="F26" s="2">
        <v>1</v>
      </c>
      <c r="G26" s="8">
        <v>45331</v>
      </c>
      <c r="H26" s="2" t="s">
        <v>74</v>
      </c>
      <c r="I26" s="1"/>
    </row>
    <row r="27" spans="1:9" x14ac:dyDescent="0.3">
      <c r="A27" s="2">
        <v>26</v>
      </c>
      <c r="B27" s="2" t="s">
        <v>145</v>
      </c>
      <c r="C27" s="8">
        <v>37309</v>
      </c>
      <c r="D27" s="2" t="s">
        <v>72</v>
      </c>
      <c r="E27" s="2" t="s">
        <v>146</v>
      </c>
      <c r="F27" s="2">
        <v>2</v>
      </c>
      <c r="G27" s="8">
        <v>45726</v>
      </c>
      <c r="H27" s="2" t="s">
        <v>74</v>
      </c>
      <c r="I27" s="1"/>
    </row>
    <row r="28" spans="1:9" x14ac:dyDescent="0.3">
      <c r="A28" s="2">
        <v>27</v>
      </c>
      <c r="B28" s="2" t="s">
        <v>148</v>
      </c>
      <c r="C28" s="8">
        <v>37705</v>
      </c>
      <c r="D28" s="2" t="s">
        <v>67</v>
      </c>
      <c r="E28" s="2" t="s">
        <v>149</v>
      </c>
      <c r="F28" s="2">
        <v>3</v>
      </c>
      <c r="G28" s="8">
        <v>45393</v>
      </c>
      <c r="H28" s="2" t="s">
        <v>74</v>
      </c>
      <c r="I28" s="1"/>
    </row>
    <row r="29" spans="1:9" x14ac:dyDescent="0.3">
      <c r="A29" s="2">
        <v>28</v>
      </c>
      <c r="B29" s="2" t="s">
        <v>151</v>
      </c>
      <c r="C29" s="8">
        <v>38078</v>
      </c>
      <c r="D29" s="2" t="s">
        <v>72</v>
      </c>
      <c r="E29" s="2" t="s">
        <v>152</v>
      </c>
      <c r="F29" s="2">
        <v>4</v>
      </c>
      <c r="G29" s="8">
        <v>45789</v>
      </c>
      <c r="H29" s="2" t="s">
        <v>74</v>
      </c>
      <c r="I29" s="1"/>
    </row>
    <row r="30" spans="1:9" x14ac:dyDescent="0.3">
      <c r="A30" s="2">
        <v>29</v>
      </c>
      <c r="B30" s="2" t="s">
        <v>154</v>
      </c>
      <c r="C30" s="8">
        <v>35919</v>
      </c>
      <c r="D30" s="2" t="s">
        <v>67</v>
      </c>
      <c r="E30" s="2" t="s">
        <v>155</v>
      </c>
      <c r="F30" s="2">
        <v>1</v>
      </c>
      <c r="G30" s="8">
        <v>45456</v>
      </c>
      <c r="H30" s="2" t="s">
        <v>74</v>
      </c>
      <c r="I30" s="1"/>
    </row>
    <row r="31" spans="1:9" x14ac:dyDescent="0.3">
      <c r="A31" s="2">
        <v>30</v>
      </c>
      <c r="B31" s="6" t="s">
        <v>157</v>
      </c>
      <c r="C31" s="9">
        <v>36318</v>
      </c>
      <c r="D31" s="6" t="s">
        <v>72</v>
      </c>
      <c r="E31" s="6" t="s">
        <v>158</v>
      </c>
      <c r="F31" s="6">
        <v>2</v>
      </c>
      <c r="G31" s="9">
        <v>45852</v>
      </c>
      <c r="H31" s="6" t="s">
        <v>74</v>
      </c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C592-1813-460C-81CD-6D919D56BA1A}">
  <dimension ref="A1:G6"/>
  <sheetViews>
    <sheetView showGridLines="0" workbookViewId="0">
      <selection activeCell="A6" sqref="A6"/>
    </sheetView>
  </sheetViews>
  <sheetFormatPr defaultRowHeight="14.4" x14ac:dyDescent="0.3"/>
  <cols>
    <col min="1" max="1" width="15.77734375" customWidth="1"/>
    <col min="2" max="2" width="27.77734375" customWidth="1"/>
    <col min="3" max="6" width="21.33203125" customWidth="1"/>
  </cols>
  <sheetData>
    <row r="1" spans="1:7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1"/>
    </row>
    <row r="2" spans="1:7" x14ac:dyDescent="0.3">
      <c r="A2" s="2">
        <v>1</v>
      </c>
      <c r="B2" s="2" t="s">
        <v>11</v>
      </c>
      <c r="C2" s="2" t="s">
        <v>12</v>
      </c>
      <c r="D2" s="2">
        <v>8</v>
      </c>
      <c r="E2" s="2" t="s">
        <v>13</v>
      </c>
      <c r="F2" s="2" t="s">
        <v>14</v>
      </c>
      <c r="G2" s="1"/>
    </row>
    <row r="3" spans="1:7" x14ac:dyDescent="0.3">
      <c r="A3" s="2">
        <v>2</v>
      </c>
      <c r="B3" s="2" t="s">
        <v>16</v>
      </c>
      <c r="C3" s="2" t="s">
        <v>17</v>
      </c>
      <c r="D3" s="2">
        <v>8</v>
      </c>
      <c r="E3" s="2" t="s">
        <v>13</v>
      </c>
      <c r="F3" s="2" t="s">
        <v>18</v>
      </c>
      <c r="G3" s="1"/>
    </row>
    <row r="4" spans="1:7" x14ac:dyDescent="0.3">
      <c r="A4" s="2">
        <v>3</v>
      </c>
      <c r="B4" s="2" t="s">
        <v>20</v>
      </c>
      <c r="C4" s="2" t="s">
        <v>21</v>
      </c>
      <c r="D4" s="2">
        <v>8</v>
      </c>
      <c r="E4" s="2" t="s">
        <v>22</v>
      </c>
      <c r="F4" s="2" t="s">
        <v>23</v>
      </c>
      <c r="G4" s="1"/>
    </row>
    <row r="5" spans="1:7" x14ac:dyDescent="0.3">
      <c r="A5" s="6">
        <v>4</v>
      </c>
      <c r="B5" s="6" t="s">
        <v>25</v>
      </c>
      <c r="C5" s="6" t="s">
        <v>26</v>
      </c>
      <c r="D5" s="6">
        <v>10</v>
      </c>
      <c r="E5" s="6" t="s">
        <v>13</v>
      </c>
      <c r="F5" s="6" t="s">
        <v>27</v>
      </c>
      <c r="G5" s="1"/>
    </row>
    <row r="6" spans="1:7" x14ac:dyDescent="0.3">
      <c r="A6" s="1"/>
      <c r="B6" s="1"/>
      <c r="C6" s="1"/>
      <c r="D6" s="1"/>
      <c r="E6" s="1"/>
      <c r="F6" s="1"/>
      <c r="G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6AE1-5649-4BD4-92B6-116981E30B8C}">
  <dimension ref="A1:G21"/>
  <sheetViews>
    <sheetView showGridLines="0" workbookViewId="0">
      <selection activeCell="D17" sqref="D17"/>
    </sheetView>
  </sheetViews>
  <sheetFormatPr defaultRowHeight="14.4" x14ac:dyDescent="0.3"/>
  <cols>
    <col min="1" max="2" width="16.6640625" customWidth="1"/>
    <col min="3" max="3" width="35.21875" customWidth="1"/>
    <col min="4" max="6" width="21.33203125" customWidth="1"/>
  </cols>
  <sheetData>
    <row r="1" spans="1:7" x14ac:dyDescent="0.3">
      <c r="A1" s="4" t="s">
        <v>28</v>
      </c>
      <c r="B1" s="4" t="s">
        <v>4</v>
      </c>
      <c r="C1" s="4" t="s">
        <v>29</v>
      </c>
      <c r="D1" s="4" t="s">
        <v>30</v>
      </c>
      <c r="E1" s="4" t="s">
        <v>31</v>
      </c>
      <c r="F1" s="4" t="s">
        <v>32</v>
      </c>
      <c r="G1" s="1"/>
    </row>
    <row r="2" spans="1:7" x14ac:dyDescent="0.3">
      <c r="A2" s="2">
        <v>1</v>
      </c>
      <c r="B2" s="2" t="s">
        <v>10</v>
      </c>
      <c r="C2" s="2" t="s">
        <v>34</v>
      </c>
      <c r="D2" s="2">
        <v>80</v>
      </c>
      <c r="E2" s="2">
        <v>1</v>
      </c>
      <c r="F2" s="2" t="s">
        <v>35</v>
      </c>
      <c r="G2" s="1"/>
    </row>
    <row r="3" spans="1:7" x14ac:dyDescent="0.3">
      <c r="A3" s="2">
        <v>2</v>
      </c>
      <c r="B3" s="2" t="s">
        <v>10</v>
      </c>
      <c r="C3" s="2" t="s">
        <v>37</v>
      </c>
      <c r="D3" s="2">
        <v>80</v>
      </c>
      <c r="E3" s="2">
        <v>1</v>
      </c>
      <c r="F3" s="2" t="s">
        <v>35</v>
      </c>
      <c r="G3" s="1"/>
    </row>
    <row r="4" spans="1:7" x14ac:dyDescent="0.3">
      <c r="A4" s="2">
        <v>3</v>
      </c>
      <c r="B4" s="2" t="s">
        <v>10</v>
      </c>
      <c r="C4" s="2" t="s">
        <v>39</v>
      </c>
      <c r="D4" s="2">
        <v>60</v>
      </c>
      <c r="E4" s="2">
        <v>2</v>
      </c>
      <c r="F4" s="2" t="s">
        <v>35</v>
      </c>
      <c r="G4" s="1"/>
    </row>
    <row r="5" spans="1:7" x14ac:dyDescent="0.3">
      <c r="A5" s="2">
        <v>4</v>
      </c>
      <c r="B5" s="2" t="s">
        <v>15</v>
      </c>
      <c r="C5" s="2" t="s">
        <v>41</v>
      </c>
      <c r="D5" s="2">
        <v>80</v>
      </c>
      <c r="E5" s="2">
        <v>1</v>
      </c>
      <c r="F5" s="2" t="s">
        <v>35</v>
      </c>
      <c r="G5" s="1"/>
    </row>
    <row r="6" spans="1:7" x14ac:dyDescent="0.3">
      <c r="A6" s="2">
        <v>5</v>
      </c>
      <c r="B6" s="2" t="s">
        <v>15</v>
      </c>
      <c r="C6" s="2" t="s">
        <v>43</v>
      </c>
      <c r="D6" s="2">
        <v>80</v>
      </c>
      <c r="E6" s="2">
        <v>2</v>
      </c>
      <c r="F6" s="2" t="s">
        <v>35</v>
      </c>
      <c r="G6" s="1"/>
    </row>
    <row r="7" spans="1:7" x14ac:dyDescent="0.3">
      <c r="A7" s="2">
        <v>6</v>
      </c>
      <c r="B7" s="2" t="s">
        <v>15</v>
      </c>
      <c r="C7" s="2" t="s">
        <v>45</v>
      </c>
      <c r="D7" s="2">
        <v>80</v>
      </c>
      <c r="E7" s="2">
        <v>3</v>
      </c>
      <c r="F7" s="2" t="s">
        <v>35</v>
      </c>
      <c r="G7" s="1"/>
    </row>
    <row r="8" spans="1:7" x14ac:dyDescent="0.3">
      <c r="A8" s="2">
        <v>7</v>
      </c>
      <c r="B8" s="2" t="s">
        <v>19</v>
      </c>
      <c r="C8" s="2" t="s">
        <v>47</v>
      </c>
      <c r="D8" s="2">
        <v>80</v>
      </c>
      <c r="E8" s="2">
        <v>1</v>
      </c>
      <c r="F8" s="2" t="s">
        <v>35</v>
      </c>
      <c r="G8" s="1"/>
    </row>
    <row r="9" spans="1:7" x14ac:dyDescent="0.3">
      <c r="A9" s="2">
        <v>8</v>
      </c>
      <c r="B9" s="2" t="s">
        <v>19</v>
      </c>
      <c r="C9" s="2" t="s">
        <v>49</v>
      </c>
      <c r="D9" s="2">
        <v>60</v>
      </c>
      <c r="E9" s="2">
        <v>2</v>
      </c>
      <c r="F9" s="2" t="s">
        <v>35</v>
      </c>
      <c r="G9" s="1"/>
    </row>
    <row r="10" spans="1:7" x14ac:dyDescent="0.3">
      <c r="A10" s="2">
        <v>9</v>
      </c>
      <c r="B10" s="2" t="s">
        <v>19</v>
      </c>
      <c r="C10" s="2" t="s">
        <v>51</v>
      </c>
      <c r="D10" s="2">
        <v>60</v>
      </c>
      <c r="E10" s="2">
        <v>3</v>
      </c>
      <c r="F10" s="2" t="s">
        <v>35</v>
      </c>
      <c r="G10" s="1"/>
    </row>
    <row r="11" spans="1:7" x14ac:dyDescent="0.3">
      <c r="A11" s="2">
        <v>10</v>
      </c>
      <c r="B11" s="2" t="s">
        <v>24</v>
      </c>
      <c r="C11" s="2" t="s">
        <v>53</v>
      </c>
      <c r="D11" s="2">
        <v>80</v>
      </c>
      <c r="E11" s="2">
        <v>1</v>
      </c>
      <c r="F11" s="2" t="s">
        <v>35</v>
      </c>
      <c r="G11" s="1"/>
    </row>
    <row r="12" spans="1:7" x14ac:dyDescent="0.3">
      <c r="A12" s="2">
        <v>11</v>
      </c>
      <c r="B12" s="2" t="s">
        <v>24</v>
      </c>
      <c r="C12" s="2" t="s">
        <v>55</v>
      </c>
      <c r="D12" s="2">
        <v>80</v>
      </c>
      <c r="E12" s="2">
        <v>3</v>
      </c>
      <c r="F12" s="2" t="s">
        <v>35</v>
      </c>
      <c r="G12" s="1"/>
    </row>
    <row r="13" spans="1:7" x14ac:dyDescent="0.3">
      <c r="A13" s="2">
        <v>12</v>
      </c>
      <c r="B13" s="6" t="s">
        <v>24</v>
      </c>
      <c r="C13" s="6" t="s">
        <v>57</v>
      </c>
      <c r="D13" s="6">
        <v>80</v>
      </c>
      <c r="E13" s="6">
        <v>4</v>
      </c>
      <c r="F13" s="6" t="s">
        <v>35</v>
      </c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21" spans="3:3" x14ac:dyDescent="0.3">
      <c r="C21" s="2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7C34-8A0A-4F6E-B94F-F7A17F4DD2E9}">
  <dimension ref="A1:K102"/>
  <sheetViews>
    <sheetView showGridLines="0" workbookViewId="0">
      <selection activeCell="C102" sqref="C102"/>
    </sheetView>
  </sheetViews>
  <sheetFormatPr defaultRowHeight="14.4" x14ac:dyDescent="0.3"/>
  <cols>
    <col min="1" max="3" width="14.77734375" customWidth="1"/>
    <col min="4" max="5" width="15.77734375" customWidth="1"/>
    <col min="6" max="9" width="12.5546875" customWidth="1"/>
    <col min="10" max="10" width="25.88671875" customWidth="1"/>
  </cols>
  <sheetData>
    <row r="1" spans="1:11" x14ac:dyDescent="0.3">
      <c r="A1" s="4" t="s">
        <v>159</v>
      </c>
      <c r="B1" s="4" t="s">
        <v>58</v>
      </c>
      <c r="C1" s="4" t="s">
        <v>28</v>
      </c>
      <c r="D1" s="4" t="s">
        <v>160</v>
      </c>
      <c r="E1" s="4" t="s">
        <v>161</v>
      </c>
      <c r="F1" s="4" t="s">
        <v>162</v>
      </c>
      <c r="G1" s="4" t="s">
        <v>163</v>
      </c>
      <c r="H1" s="4" t="s">
        <v>164</v>
      </c>
      <c r="I1" s="4" t="s">
        <v>165</v>
      </c>
      <c r="J1" s="4" t="s">
        <v>166</v>
      </c>
      <c r="K1" s="1"/>
    </row>
    <row r="2" spans="1:11" x14ac:dyDescent="0.3">
      <c r="A2" s="2">
        <v>1</v>
      </c>
      <c r="B2" s="2" t="s">
        <v>65</v>
      </c>
      <c r="C2" s="2">
        <v>1</v>
      </c>
      <c r="D2" s="8">
        <v>45691</v>
      </c>
      <c r="E2" s="10" t="s">
        <v>167</v>
      </c>
      <c r="F2" s="11">
        <v>4</v>
      </c>
      <c r="G2" s="11">
        <v>5.0999999999999996</v>
      </c>
      <c r="H2" s="11">
        <f t="shared" ref="H2:H33" si="0">ROUND(AVERAGE(F2:G2),1)</f>
        <v>4.5999999999999996</v>
      </c>
      <c r="I2" s="12">
        <v>0.68</v>
      </c>
      <c r="J2" s="2" t="str">
        <f t="shared" ref="J2:J33" si="1">IF(I2&lt;75%,"Reprovado por frequência",IF(H2&gt;=6,"Aprovado","Reprovado por nota"))</f>
        <v>Reprovado por frequência</v>
      </c>
      <c r="K2" s="1"/>
    </row>
    <row r="3" spans="1:11" x14ac:dyDescent="0.3">
      <c r="A3" s="2">
        <v>2</v>
      </c>
      <c r="B3" s="2" t="s">
        <v>65</v>
      </c>
      <c r="C3" s="2">
        <v>2</v>
      </c>
      <c r="D3" s="8">
        <v>45692</v>
      </c>
      <c r="E3" s="10" t="s">
        <v>167</v>
      </c>
      <c r="F3" s="11">
        <v>4.5</v>
      </c>
      <c r="G3" s="11">
        <v>6</v>
      </c>
      <c r="H3" s="11">
        <f t="shared" si="0"/>
        <v>5.3</v>
      </c>
      <c r="I3" s="12">
        <v>0.75</v>
      </c>
      <c r="J3" s="2" t="str">
        <f t="shared" si="1"/>
        <v>Reprovado por nota</v>
      </c>
      <c r="K3" s="1"/>
    </row>
    <row r="4" spans="1:11" x14ac:dyDescent="0.3">
      <c r="A4" s="2">
        <v>3</v>
      </c>
      <c r="B4" s="2" t="s">
        <v>65</v>
      </c>
      <c r="C4" s="2">
        <v>3</v>
      </c>
      <c r="D4" s="8">
        <v>45693</v>
      </c>
      <c r="E4" s="10" t="s">
        <v>167</v>
      </c>
      <c r="F4" s="11">
        <v>5</v>
      </c>
      <c r="G4" s="11">
        <v>6.9</v>
      </c>
      <c r="H4" s="11">
        <f t="shared" si="0"/>
        <v>6</v>
      </c>
      <c r="I4" s="12">
        <v>0.82</v>
      </c>
      <c r="J4" s="2" t="str">
        <f t="shared" si="1"/>
        <v>Aprovado</v>
      </c>
      <c r="K4" s="1"/>
    </row>
    <row r="5" spans="1:11" x14ac:dyDescent="0.3">
      <c r="A5" s="2">
        <v>4</v>
      </c>
      <c r="B5" s="2" t="s">
        <v>65</v>
      </c>
      <c r="C5" s="2">
        <v>1</v>
      </c>
      <c r="D5" s="8">
        <v>45874</v>
      </c>
      <c r="E5" s="10" t="s">
        <v>168</v>
      </c>
      <c r="F5" s="11">
        <v>5.5</v>
      </c>
      <c r="G5" s="11">
        <v>7.8</v>
      </c>
      <c r="H5" s="11">
        <f t="shared" si="0"/>
        <v>6.7</v>
      </c>
      <c r="I5" s="12">
        <v>0.89</v>
      </c>
      <c r="J5" s="2" t="str">
        <f t="shared" si="1"/>
        <v>Aprovado</v>
      </c>
      <c r="K5" s="1"/>
    </row>
    <row r="6" spans="1:11" x14ac:dyDescent="0.3">
      <c r="A6" s="2">
        <v>5</v>
      </c>
      <c r="B6" s="2" t="s">
        <v>70</v>
      </c>
      <c r="C6" s="2">
        <v>4</v>
      </c>
      <c r="D6" s="8">
        <v>45692</v>
      </c>
      <c r="E6" s="10" t="s">
        <v>167</v>
      </c>
      <c r="F6" s="11">
        <v>4.7</v>
      </c>
      <c r="G6" s="11">
        <v>5.6</v>
      </c>
      <c r="H6" s="11">
        <f t="shared" si="0"/>
        <v>5.2</v>
      </c>
      <c r="I6" s="12">
        <v>0.79</v>
      </c>
      <c r="J6" s="2" t="str">
        <f t="shared" si="1"/>
        <v>Reprovado por nota</v>
      </c>
      <c r="K6" s="1"/>
    </row>
    <row r="7" spans="1:11" x14ac:dyDescent="0.3">
      <c r="A7" s="2">
        <v>6</v>
      </c>
      <c r="B7" s="2" t="s">
        <v>70</v>
      </c>
      <c r="C7" s="2">
        <v>5</v>
      </c>
      <c r="D7" s="8">
        <v>45693</v>
      </c>
      <c r="E7" s="10" t="s">
        <v>167</v>
      </c>
      <c r="F7" s="11">
        <v>5.2</v>
      </c>
      <c r="G7" s="11">
        <v>6.5</v>
      </c>
      <c r="H7" s="11">
        <f t="shared" si="0"/>
        <v>5.9</v>
      </c>
      <c r="I7" s="12">
        <v>0.86</v>
      </c>
      <c r="J7" s="2" t="str">
        <f t="shared" si="1"/>
        <v>Reprovado por nota</v>
      </c>
      <c r="K7" s="1"/>
    </row>
    <row r="8" spans="1:11" x14ac:dyDescent="0.3">
      <c r="A8" s="2">
        <v>7</v>
      </c>
      <c r="B8" s="2" t="s">
        <v>70</v>
      </c>
      <c r="C8" s="2">
        <v>6</v>
      </c>
      <c r="D8" s="8">
        <v>45694</v>
      </c>
      <c r="E8" s="10" t="s">
        <v>167</v>
      </c>
      <c r="F8" s="11">
        <v>5.7</v>
      </c>
      <c r="G8" s="11">
        <v>7.4</v>
      </c>
      <c r="H8" s="11">
        <f t="shared" si="0"/>
        <v>6.6</v>
      </c>
      <c r="I8" s="12">
        <v>0.93</v>
      </c>
      <c r="J8" s="2" t="str">
        <f t="shared" si="1"/>
        <v>Aprovado</v>
      </c>
      <c r="K8" s="1"/>
    </row>
    <row r="9" spans="1:11" x14ac:dyDescent="0.3">
      <c r="A9" s="2">
        <v>8</v>
      </c>
      <c r="B9" s="2" t="s">
        <v>70</v>
      </c>
      <c r="C9" s="2">
        <v>4</v>
      </c>
      <c r="D9" s="8">
        <v>45875</v>
      </c>
      <c r="E9" s="10" t="s">
        <v>168</v>
      </c>
      <c r="F9" s="11">
        <v>6.2</v>
      </c>
      <c r="G9" s="11">
        <v>8.3000000000000007</v>
      </c>
      <c r="H9" s="11">
        <f t="shared" si="0"/>
        <v>7.3</v>
      </c>
      <c r="I9" s="12">
        <v>0.68</v>
      </c>
      <c r="J9" s="2" t="str">
        <f t="shared" si="1"/>
        <v>Reprovado por frequência</v>
      </c>
      <c r="K9" s="1"/>
    </row>
    <row r="10" spans="1:11" x14ac:dyDescent="0.3">
      <c r="A10" s="2">
        <v>9</v>
      </c>
      <c r="B10" s="2" t="s">
        <v>75</v>
      </c>
      <c r="C10" s="2">
        <v>7</v>
      </c>
      <c r="D10" s="8">
        <v>45693</v>
      </c>
      <c r="E10" s="10" t="s">
        <v>167</v>
      </c>
      <c r="F10" s="11">
        <v>5.4</v>
      </c>
      <c r="G10" s="11">
        <v>6.1</v>
      </c>
      <c r="H10" s="11">
        <f t="shared" si="0"/>
        <v>5.8</v>
      </c>
      <c r="I10" s="12">
        <v>0.9</v>
      </c>
      <c r="J10" s="2" t="str">
        <f t="shared" si="1"/>
        <v>Reprovado por nota</v>
      </c>
      <c r="K10" s="1"/>
    </row>
    <row r="11" spans="1:11" x14ac:dyDescent="0.3">
      <c r="A11" s="2">
        <v>10</v>
      </c>
      <c r="B11" s="2" t="s">
        <v>75</v>
      </c>
      <c r="C11" s="2">
        <v>8</v>
      </c>
      <c r="D11" s="8">
        <v>45694</v>
      </c>
      <c r="E11" s="10" t="s">
        <v>167</v>
      </c>
      <c r="F11" s="11">
        <v>5.9</v>
      </c>
      <c r="G11" s="11">
        <v>7</v>
      </c>
      <c r="H11" s="11">
        <f t="shared" si="0"/>
        <v>6.5</v>
      </c>
      <c r="I11" s="12">
        <v>0.97</v>
      </c>
      <c r="J11" s="2" t="str">
        <f t="shared" si="1"/>
        <v>Aprovado</v>
      </c>
      <c r="K11" s="1"/>
    </row>
    <row r="12" spans="1:11" x14ac:dyDescent="0.3">
      <c r="A12" s="2">
        <v>11</v>
      </c>
      <c r="B12" s="2" t="s">
        <v>75</v>
      </c>
      <c r="C12" s="2">
        <v>9</v>
      </c>
      <c r="D12" s="8">
        <v>45695</v>
      </c>
      <c r="E12" s="10" t="s">
        <v>167</v>
      </c>
      <c r="F12" s="11">
        <v>6.4</v>
      </c>
      <c r="G12" s="11">
        <v>7.9</v>
      </c>
      <c r="H12" s="11">
        <f t="shared" si="0"/>
        <v>7.2</v>
      </c>
      <c r="I12" s="12">
        <v>0.72</v>
      </c>
      <c r="J12" s="2" t="str">
        <f t="shared" si="1"/>
        <v>Reprovado por frequência</v>
      </c>
      <c r="K12" s="1"/>
    </row>
    <row r="13" spans="1:11" x14ac:dyDescent="0.3">
      <c r="A13" s="2">
        <v>12</v>
      </c>
      <c r="B13" s="2" t="s">
        <v>75</v>
      </c>
      <c r="C13" s="2">
        <v>7</v>
      </c>
      <c r="D13" s="8">
        <v>45876</v>
      </c>
      <c r="E13" s="10" t="s">
        <v>168</v>
      </c>
      <c r="F13" s="11">
        <v>6.9</v>
      </c>
      <c r="G13" s="11">
        <v>8.8000000000000007</v>
      </c>
      <c r="H13" s="11">
        <f t="shared" si="0"/>
        <v>7.9</v>
      </c>
      <c r="I13" s="12">
        <v>0.79</v>
      </c>
      <c r="J13" s="2" t="str">
        <f t="shared" si="1"/>
        <v>Aprovado</v>
      </c>
      <c r="K13" s="1"/>
    </row>
    <row r="14" spans="1:11" x14ac:dyDescent="0.3">
      <c r="A14" s="2">
        <v>13</v>
      </c>
      <c r="B14" s="2" t="s">
        <v>78</v>
      </c>
      <c r="C14" s="2">
        <v>10</v>
      </c>
      <c r="D14" s="8">
        <v>45694</v>
      </c>
      <c r="E14" s="10" t="s">
        <v>167</v>
      </c>
      <c r="F14" s="11">
        <v>6.1</v>
      </c>
      <c r="G14" s="11">
        <v>6.6</v>
      </c>
      <c r="H14" s="11">
        <f t="shared" si="0"/>
        <v>6.4</v>
      </c>
      <c r="I14" s="12">
        <v>0.69</v>
      </c>
      <c r="J14" s="2" t="str">
        <f t="shared" si="1"/>
        <v>Reprovado por frequência</v>
      </c>
      <c r="K14" s="1"/>
    </row>
    <row r="15" spans="1:11" x14ac:dyDescent="0.3">
      <c r="A15" s="2">
        <v>14</v>
      </c>
      <c r="B15" s="2" t="s">
        <v>78</v>
      </c>
      <c r="C15" s="2">
        <v>11</v>
      </c>
      <c r="D15" s="8">
        <v>45695</v>
      </c>
      <c r="E15" s="10" t="s">
        <v>167</v>
      </c>
      <c r="F15" s="11">
        <v>6.6</v>
      </c>
      <c r="G15" s="11">
        <v>7.5</v>
      </c>
      <c r="H15" s="11">
        <f t="shared" si="0"/>
        <v>7.1</v>
      </c>
      <c r="I15" s="12">
        <v>0.76</v>
      </c>
      <c r="J15" s="2" t="str">
        <f t="shared" si="1"/>
        <v>Aprovado</v>
      </c>
      <c r="K15" s="1"/>
    </row>
    <row r="16" spans="1:11" x14ac:dyDescent="0.3">
      <c r="A16" s="2">
        <v>15</v>
      </c>
      <c r="B16" s="2" t="s">
        <v>78</v>
      </c>
      <c r="C16" s="2">
        <v>12</v>
      </c>
      <c r="D16" s="8">
        <v>45696</v>
      </c>
      <c r="E16" s="10" t="s">
        <v>167</v>
      </c>
      <c r="F16" s="11">
        <v>7.1</v>
      </c>
      <c r="G16" s="11">
        <v>8.4</v>
      </c>
      <c r="H16" s="11">
        <f t="shared" si="0"/>
        <v>7.8</v>
      </c>
      <c r="I16" s="12">
        <v>0.83</v>
      </c>
      <c r="J16" s="2" t="str">
        <f t="shared" si="1"/>
        <v>Aprovado</v>
      </c>
      <c r="K16" s="1"/>
    </row>
    <row r="17" spans="1:11" x14ac:dyDescent="0.3">
      <c r="A17" s="2">
        <v>16</v>
      </c>
      <c r="B17" s="2" t="s">
        <v>78</v>
      </c>
      <c r="C17" s="2">
        <v>10</v>
      </c>
      <c r="D17" s="8">
        <v>45877</v>
      </c>
      <c r="E17" s="10" t="s">
        <v>168</v>
      </c>
      <c r="F17" s="11">
        <v>7.6</v>
      </c>
      <c r="G17" s="11">
        <v>9.3000000000000007</v>
      </c>
      <c r="H17" s="11">
        <f t="shared" si="0"/>
        <v>8.5</v>
      </c>
      <c r="I17" s="12">
        <v>0.9</v>
      </c>
      <c r="J17" s="2" t="str">
        <f t="shared" si="1"/>
        <v>Aprovado</v>
      </c>
      <c r="K17" s="1"/>
    </row>
    <row r="18" spans="1:11" x14ac:dyDescent="0.3">
      <c r="A18" s="2">
        <v>17</v>
      </c>
      <c r="B18" s="2" t="s">
        <v>81</v>
      </c>
      <c r="C18" s="2">
        <v>1</v>
      </c>
      <c r="D18" s="8">
        <v>45695</v>
      </c>
      <c r="E18" s="10" t="s">
        <v>167</v>
      </c>
      <c r="F18" s="11">
        <v>6.8</v>
      </c>
      <c r="G18" s="11">
        <v>7.1</v>
      </c>
      <c r="H18" s="11">
        <f t="shared" si="0"/>
        <v>7</v>
      </c>
      <c r="I18" s="12">
        <v>0.8</v>
      </c>
      <c r="J18" s="2" t="str">
        <f t="shared" si="1"/>
        <v>Aprovado</v>
      </c>
      <c r="K18" s="1"/>
    </row>
    <row r="19" spans="1:11" x14ac:dyDescent="0.3">
      <c r="A19" s="2">
        <v>18</v>
      </c>
      <c r="B19" s="2" t="s">
        <v>81</v>
      </c>
      <c r="C19" s="2">
        <v>2</v>
      </c>
      <c r="D19" s="8">
        <v>45696</v>
      </c>
      <c r="E19" s="10" t="s">
        <v>167</v>
      </c>
      <c r="F19" s="11">
        <v>7.3</v>
      </c>
      <c r="G19" s="11">
        <v>8</v>
      </c>
      <c r="H19" s="11">
        <f t="shared" si="0"/>
        <v>7.7</v>
      </c>
      <c r="I19" s="12">
        <v>0.87</v>
      </c>
      <c r="J19" s="2" t="str">
        <f t="shared" si="1"/>
        <v>Aprovado</v>
      </c>
      <c r="K19" s="1"/>
    </row>
    <row r="20" spans="1:11" x14ac:dyDescent="0.3">
      <c r="A20" s="2">
        <v>19</v>
      </c>
      <c r="B20" s="2" t="s">
        <v>81</v>
      </c>
      <c r="C20" s="2">
        <v>3</v>
      </c>
      <c r="D20" s="8">
        <v>45697</v>
      </c>
      <c r="E20" s="10" t="s">
        <v>167</v>
      </c>
      <c r="F20" s="11">
        <v>7.8</v>
      </c>
      <c r="G20" s="11">
        <v>8.9</v>
      </c>
      <c r="H20" s="11">
        <f t="shared" si="0"/>
        <v>8.4</v>
      </c>
      <c r="I20" s="12">
        <v>0.94</v>
      </c>
      <c r="J20" s="2" t="str">
        <f t="shared" si="1"/>
        <v>Aprovado</v>
      </c>
      <c r="K20" s="1"/>
    </row>
    <row r="21" spans="1:11" x14ac:dyDescent="0.3">
      <c r="A21" s="2">
        <v>20</v>
      </c>
      <c r="B21" s="2" t="s">
        <v>81</v>
      </c>
      <c r="C21" s="2">
        <v>1</v>
      </c>
      <c r="D21" s="8">
        <v>45878</v>
      </c>
      <c r="E21" s="10" t="s">
        <v>168</v>
      </c>
      <c r="F21" s="11">
        <v>8.3000000000000007</v>
      </c>
      <c r="G21" s="11">
        <v>9.8000000000000007</v>
      </c>
      <c r="H21" s="11">
        <f t="shared" si="0"/>
        <v>9.1</v>
      </c>
      <c r="I21" s="12">
        <v>0.69</v>
      </c>
      <c r="J21" s="2" t="str">
        <f t="shared" si="1"/>
        <v>Reprovado por frequência</v>
      </c>
      <c r="K21" s="1"/>
    </row>
    <row r="22" spans="1:11" x14ac:dyDescent="0.3">
      <c r="A22" s="2">
        <v>21</v>
      </c>
      <c r="B22" s="2" t="s">
        <v>84</v>
      </c>
      <c r="C22" s="2">
        <v>4</v>
      </c>
      <c r="D22" s="8">
        <v>45696</v>
      </c>
      <c r="E22" s="10" t="s">
        <v>167</v>
      </c>
      <c r="F22" s="11">
        <v>7.5</v>
      </c>
      <c r="G22" s="11">
        <v>7.6</v>
      </c>
      <c r="H22" s="11">
        <f t="shared" si="0"/>
        <v>7.6</v>
      </c>
      <c r="I22" s="12">
        <v>0.91</v>
      </c>
      <c r="J22" s="2" t="str">
        <f t="shared" si="1"/>
        <v>Aprovado</v>
      </c>
      <c r="K22" s="1"/>
    </row>
    <row r="23" spans="1:11" x14ac:dyDescent="0.3">
      <c r="A23" s="2">
        <v>22</v>
      </c>
      <c r="B23" s="2" t="s">
        <v>84</v>
      </c>
      <c r="C23" s="2">
        <v>5</v>
      </c>
      <c r="D23" s="8">
        <v>45697</v>
      </c>
      <c r="E23" s="10" t="s">
        <v>167</v>
      </c>
      <c r="F23" s="11">
        <v>8</v>
      </c>
      <c r="G23" s="11">
        <v>8.5</v>
      </c>
      <c r="H23" s="11">
        <f t="shared" si="0"/>
        <v>8.3000000000000007</v>
      </c>
      <c r="I23" s="12">
        <v>0.98</v>
      </c>
      <c r="J23" s="2" t="str">
        <f t="shared" si="1"/>
        <v>Aprovado</v>
      </c>
      <c r="K23" s="1"/>
    </row>
    <row r="24" spans="1:11" x14ac:dyDescent="0.3">
      <c r="A24" s="2">
        <v>23</v>
      </c>
      <c r="B24" s="2" t="s">
        <v>84</v>
      </c>
      <c r="C24" s="2">
        <v>6</v>
      </c>
      <c r="D24" s="8">
        <v>45698</v>
      </c>
      <c r="E24" s="10" t="s">
        <v>167</v>
      </c>
      <c r="F24" s="11">
        <v>8.5</v>
      </c>
      <c r="G24" s="11">
        <v>9.4</v>
      </c>
      <c r="H24" s="11">
        <f t="shared" si="0"/>
        <v>9</v>
      </c>
      <c r="I24" s="12">
        <v>0.73</v>
      </c>
      <c r="J24" s="2" t="str">
        <f t="shared" si="1"/>
        <v>Reprovado por frequência</v>
      </c>
      <c r="K24" s="1"/>
    </row>
    <row r="25" spans="1:11" x14ac:dyDescent="0.3">
      <c r="A25" s="2">
        <v>24</v>
      </c>
      <c r="B25" s="2" t="s">
        <v>84</v>
      </c>
      <c r="C25" s="2">
        <v>4</v>
      </c>
      <c r="D25" s="8">
        <v>45879</v>
      </c>
      <c r="E25" s="10" t="s">
        <v>168</v>
      </c>
      <c r="F25" s="11">
        <v>9</v>
      </c>
      <c r="G25" s="11">
        <v>4.2</v>
      </c>
      <c r="H25" s="11">
        <f t="shared" si="0"/>
        <v>6.6</v>
      </c>
      <c r="I25" s="12">
        <v>0.8</v>
      </c>
      <c r="J25" s="2" t="str">
        <f t="shared" si="1"/>
        <v>Aprovado</v>
      </c>
      <c r="K25" s="1"/>
    </row>
    <row r="26" spans="1:11" x14ac:dyDescent="0.3">
      <c r="A26" s="2">
        <v>25</v>
      </c>
      <c r="B26" s="2" t="s">
        <v>87</v>
      </c>
      <c r="C26" s="2">
        <v>7</v>
      </c>
      <c r="D26" s="8">
        <v>45697</v>
      </c>
      <c r="E26" s="10" t="s">
        <v>167</v>
      </c>
      <c r="F26" s="11">
        <v>8.1999999999999993</v>
      </c>
      <c r="G26" s="11">
        <v>8.1</v>
      </c>
      <c r="H26" s="11">
        <f t="shared" si="0"/>
        <v>8.1999999999999993</v>
      </c>
      <c r="I26" s="12">
        <v>0.7</v>
      </c>
      <c r="J26" s="2" t="str">
        <f t="shared" si="1"/>
        <v>Reprovado por frequência</v>
      </c>
      <c r="K26" s="1"/>
    </row>
    <row r="27" spans="1:11" x14ac:dyDescent="0.3">
      <c r="A27" s="2">
        <v>26</v>
      </c>
      <c r="B27" s="2" t="s">
        <v>87</v>
      </c>
      <c r="C27" s="2">
        <v>8</v>
      </c>
      <c r="D27" s="8">
        <v>45698</v>
      </c>
      <c r="E27" s="10" t="s">
        <v>167</v>
      </c>
      <c r="F27" s="11">
        <v>8.6999999999999993</v>
      </c>
      <c r="G27" s="11">
        <v>9</v>
      </c>
      <c r="H27" s="11">
        <f t="shared" si="0"/>
        <v>8.9</v>
      </c>
      <c r="I27" s="12">
        <v>0.77</v>
      </c>
      <c r="J27" s="2" t="str">
        <f t="shared" si="1"/>
        <v>Aprovado</v>
      </c>
      <c r="K27" s="1"/>
    </row>
    <row r="28" spans="1:11" x14ac:dyDescent="0.3">
      <c r="A28" s="2">
        <v>27</v>
      </c>
      <c r="B28" s="2" t="s">
        <v>87</v>
      </c>
      <c r="C28" s="2">
        <v>9</v>
      </c>
      <c r="D28" s="8">
        <v>45699</v>
      </c>
      <c r="E28" s="10" t="s">
        <v>167</v>
      </c>
      <c r="F28" s="11">
        <v>9.1999999999999993</v>
      </c>
      <c r="G28" s="11">
        <v>9.9</v>
      </c>
      <c r="H28" s="11">
        <f t="shared" si="0"/>
        <v>9.6</v>
      </c>
      <c r="I28" s="12">
        <v>0.84</v>
      </c>
      <c r="J28" s="2" t="str">
        <f t="shared" si="1"/>
        <v>Aprovado</v>
      </c>
      <c r="K28" s="1"/>
    </row>
    <row r="29" spans="1:11" x14ac:dyDescent="0.3">
      <c r="A29" s="2">
        <v>28</v>
      </c>
      <c r="B29" s="2" t="s">
        <v>87</v>
      </c>
      <c r="C29" s="2">
        <v>7</v>
      </c>
      <c r="D29" s="8">
        <v>45880</v>
      </c>
      <c r="E29" s="10" t="s">
        <v>168</v>
      </c>
      <c r="F29" s="11">
        <v>9.6999999999999993</v>
      </c>
      <c r="G29" s="11">
        <v>4.7</v>
      </c>
      <c r="H29" s="11">
        <f t="shared" si="0"/>
        <v>7.2</v>
      </c>
      <c r="I29" s="12">
        <v>0.91</v>
      </c>
      <c r="J29" s="2" t="str">
        <f t="shared" si="1"/>
        <v>Aprovado</v>
      </c>
      <c r="K29" s="1"/>
    </row>
    <row r="30" spans="1:11" x14ac:dyDescent="0.3">
      <c r="A30" s="2">
        <v>29</v>
      </c>
      <c r="B30" s="2" t="s">
        <v>90</v>
      </c>
      <c r="C30" s="2">
        <v>10</v>
      </c>
      <c r="D30" s="8">
        <v>45698</v>
      </c>
      <c r="E30" s="10" t="s">
        <v>167</v>
      </c>
      <c r="F30" s="11">
        <v>8.9</v>
      </c>
      <c r="G30" s="11">
        <v>8.6</v>
      </c>
      <c r="H30" s="11">
        <f t="shared" si="0"/>
        <v>8.8000000000000007</v>
      </c>
      <c r="I30" s="12">
        <v>0.81</v>
      </c>
      <c r="J30" s="2" t="str">
        <f t="shared" si="1"/>
        <v>Aprovado</v>
      </c>
      <c r="K30" s="1"/>
    </row>
    <row r="31" spans="1:11" x14ac:dyDescent="0.3">
      <c r="A31" s="2">
        <v>30</v>
      </c>
      <c r="B31" s="2" t="s">
        <v>90</v>
      </c>
      <c r="C31" s="2">
        <v>11</v>
      </c>
      <c r="D31" s="8">
        <v>45699</v>
      </c>
      <c r="E31" s="10" t="s">
        <v>167</v>
      </c>
      <c r="F31" s="11">
        <v>9.4</v>
      </c>
      <c r="G31" s="11">
        <v>9.5</v>
      </c>
      <c r="H31" s="11">
        <f t="shared" si="0"/>
        <v>9.5</v>
      </c>
      <c r="I31" s="12">
        <v>0.88</v>
      </c>
      <c r="J31" s="2" t="str">
        <f t="shared" si="1"/>
        <v>Aprovado</v>
      </c>
      <c r="K31" s="1"/>
    </row>
    <row r="32" spans="1:11" x14ac:dyDescent="0.3">
      <c r="A32" s="2">
        <v>31</v>
      </c>
      <c r="B32" s="2" t="s">
        <v>90</v>
      </c>
      <c r="C32" s="2">
        <v>12</v>
      </c>
      <c r="D32" s="8">
        <v>45700</v>
      </c>
      <c r="E32" s="10" t="s">
        <v>167</v>
      </c>
      <c r="F32" s="11">
        <v>9.9</v>
      </c>
      <c r="G32" s="11">
        <v>4.3</v>
      </c>
      <c r="H32" s="11">
        <f t="shared" si="0"/>
        <v>7.1</v>
      </c>
      <c r="I32" s="12">
        <v>0.95</v>
      </c>
      <c r="J32" s="2" t="str">
        <f t="shared" si="1"/>
        <v>Aprovado</v>
      </c>
      <c r="K32" s="1"/>
    </row>
    <row r="33" spans="1:11" x14ac:dyDescent="0.3">
      <c r="A33" s="2">
        <v>32</v>
      </c>
      <c r="B33" s="2" t="s">
        <v>90</v>
      </c>
      <c r="C33" s="2">
        <v>10</v>
      </c>
      <c r="D33" s="8">
        <v>45881</v>
      </c>
      <c r="E33" s="10" t="s">
        <v>168</v>
      </c>
      <c r="F33" s="11">
        <v>4.3</v>
      </c>
      <c r="G33" s="11">
        <v>5.2</v>
      </c>
      <c r="H33" s="11">
        <f t="shared" si="0"/>
        <v>4.8</v>
      </c>
      <c r="I33" s="12">
        <v>0.7</v>
      </c>
      <c r="J33" s="2" t="str">
        <f t="shared" si="1"/>
        <v>Reprovado por frequência</v>
      </c>
      <c r="K33" s="1"/>
    </row>
    <row r="34" spans="1:11" x14ac:dyDescent="0.3">
      <c r="A34" s="2">
        <v>33</v>
      </c>
      <c r="B34" s="2" t="s">
        <v>93</v>
      </c>
      <c r="C34" s="2">
        <v>1</v>
      </c>
      <c r="D34" s="8">
        <v>45699</v>
      </c>
      <c r="E34" s="10" t="s">
        <v>167</v>
      </c>
      <c r="F34" s="11">
        <v>9.6</v>
      </c>
      <c r="G34" s="11">
        <v>9.1</v>
      </c>
      <c r="H34" s="11">
        <f t="shared" ref="H34:H65" si="2">ROUND(AVERAGE(F34:G34),1)</f>
        <v>9.4</v>
      </c>
      <c r="I34" s="12">
        <v>0.92</v>
      </c>
      <c r="J34" s="2" t="str">
        <f t="shared" ref="J34:J65" si="3">IF(I34&lt;75%,"Reprovado por frequência",IF(H34&gt;=6,"Aprovado","Reprovado por nota"))</f>
        <v>Aprovado</v>
      </c>
      <c r="K34" s="1"/>
    </row>
    <row r="35" spans="1:11" x14ac:dyDescent="0.3">
      <c r="A35" s="2">
        <v>34</v>
      </c>
      <c r="B35" s="2" t="s">
        <v>93</v>
      </c>
      <c r="C35" s="2">
        <v>2</v>
      </c>
      <c r="D35" s="8">
        <v>45700</v>
      </c>
      <c r="E35" s="10" t="s">
        <v>167</v>
      </c>
      <c r="F35" s="11">
        <v>4</v>
      </c>
      <c r="G35" s="11">
        <v>10</v>
      </c>
      <c r="H35" s="11">
        <f t="shared" si="2"/>
        <v>7</v>
      </c>
      <c r="I35" s="12">
        <v>0.99</v>
      </c>
      <c r="J35" s="2" t="str">
        <f t="shared" si="3"/>
        <v>Aprovado</v>
      </c>
      <c r="K35" s="1"/>
    </row>
    <row r="36" spans="1:11" x14ac:dyDescent="0.3">
      <c r="A36" s="2">
        <v>35</v>
      </c>
      <c r="B36" s="2" t="s">
        <v>93</v>
      </c>
      <c r="C36" s="2">
        <v>3</v>
      </c>
      <c r="D36" s="8">
        <v>45701</v>
      </c>
      <c r="E36" s="10" t="s">
        <v>167</v>
      </c>
      <c r="F36" s="11">
        <v>4.5</v>
      </c>
      <c r="G36" s="11">
        <v>4.8</v>
      </c>
      <c r="H36" s="11">
        <f t="shared" si="2"/>
        <v>4.7</v>
      </c>
      <c r="I36" s="12">
        <v>0.74</v>
      </c>
      <c r="J36" s="2" t="str">
        <f t="shared" si="3"/>
        <v>Reprovado por frequência</v>
      </c>
      <c r="K36" s="1"/>
    </row>
    <row r="37" spans="1:11" x14ac:dyDescent="0.3">
      <c r="A37" s="2">
        <v>36</v>
      </c>
      <c r="B37" s="2" t="s">
        <v>93</v>
      </c>
      <c r="C37" s="2">
        <v>1</v>
      </c>
      <c r="D37" s="8">
        <v>45882</v>
      </c>
      <c r="E37" s="10" t="s">
        <v>168</v>
      </c>
      <c r="F37" s="11">
        <v>5</v>
      </c>
      <c r="G37" s="11">
        <v>5.7</v>
      </c>
      <c r="H37" s="11">
        <f t="shared" si="2"/>
        <v>5.4</v>
      </c>
      <c r="I37" s="12">
        <v>0.81</v>
      </c>
      <c r="J37" s="2" t="str">
        <f t="shared" si="3"/>
        <v>Reprovado por nota</v>
      </c>
      <c r="K37" s="1"/>
    </row>
    <row r="38" spans="1:11" x14ac:dyDescent="0.3">
      <c r="A38" s="2">
        <v>37</v>
      </c>
      <c r="B38" s="2" t="s">
        <v>96</v>
      </c>
      <c r="C38" s="2">
        <v>4</v>
      </c>
      <c r="D38" s="8">
        <v>45700</v>
      </c>
      <c r="E38" s="10" t="s">
        <v>167</v>
      </c>
      <c r="F38" s="11">
        <v>4.2</v>
      </c>
      <c r="G38" s="11">
        <v>9.6</v>
      </c>
      <c r="H38" s="11">
        <f t="shared" si="2"/>
        <v>6.9</v>
      </c>
      <c r="I38" s="12">
        <v>0.71</v>
      </c>
      <c r="J38" s="2" t="str">
        <f t="shared" si="3"/>
        <v>Reprovado por frequência</v>
      </c>
      <c r="K38" s="1"/>
    </row>
    <row r="39" spans="1:11" x14ac:dyDescent="0.3">
      <c r="A39" s="2">
        <v>38</v>
      </c>
      <c r="B39" s="2" t="s">
        <v>96</v>
      </c>
      <c r="C39" s="2">
        <v>5</v>
      </c>
      <c r="D39" s="8">
        <v>45701</v>
      </c>
      <c r="E39" s="10" t="s">
        <v>167</v>
      </c>
      <c r="F39" s="11">
        <v>4.7</v>
      </c>
      <c r="G39" s="11">
        <v>4.4000000000000004</v>
      </c>
      <c r="H39" s="11">
        <f t="shared" si="2"/>
        <v>4.5999999999999996</v>
      </c>
      <c r="I39" s="12">
        <v>0.78</v>
      </c>
      <c r="J39" s="2" t="str">
        <f t="shared" si="3"/>
        <v>Reprovado por nota</v>
      </c>
      <c r="K39" s="1"/>
    </row>
    <row r="40" spans="1:11" x14ac:dyDescent="0.3">
      <c r="A40" s="2">
        <v>39</v>
      </c>
      <c r="B40" s="2" t="s">
        <v>96</v>
      </c>
      <c r="C40" s="2">
        <v>6</v>
      </c>
      <c r="D40" s="8">
        <v>45702</v>
      </c>
      <c r="E40" s="10" t="s">
        <v>167</v>
      </c>
      <c r="F40" s="11">
        <v>5.2</v>
      </c>
      <c r="G40" s="11">
        <v>5.3</v>
      </c>
      <c r="H40" s="11">
        <f t="shared" si="2"/>
        <v>5.3</v>
      </c>
      <c r="I40" s="12">
        <v>0.85</v>
      </c>
      <c r="J40" s="2" t="str">
        <f t="shared" si="3"/>
        <v>Reprovado por nota</v>
      </c>
      <c r="K40" s="1"/>
    </row>
    <row r="41" spans="1:11" x14ac:dyDescent="0.3">
      <c r="A41" s="2">
        <v>40</v>
      </c>
      <c r="B41" s="2" t="s">
        <v>96</v>
      </c>
      <c r="C41" s="2">
        <v>4</v>
      </c>
      <c r="D41" s="8">
        <v>45883</v>
      </c>
      <c r="E41" s="10" t="s">
        <v>168</v>
      </c>
      <c r="F41" s="11">
        <v>5.7</v>
      </c>
      <c r="G41" s="11">
        <v>6.2</v>
      </c>
      <c r="H41" s="11">
        <f t="shared" si="2"/>
        <v>6</v>
      </c>
      <c r="I41" s="12">
        <v>0.92</v>
      </c>
      <c r="J41" s="2" t="str">
        <f t="shared" si="3"/>
        <v>Aprovado</v>
      </c>
      <c r="K41" s="1"/>
    </row>
    <row r="42" spans="1:11" x14ac:dyDescent="0.3">
      <c r="A42" s="2">
        <v>41</v>
      </c>
      <c r="B42" s="2" t="s">
        <v>99</v>
      </c>
      <c r="C42" s="2">
        <v>7</v>
      </c>
      <c r="D42" s="8">
        <v>45701</v>
      </c>
      <c r="E42" s="10" t="s">
        <v>167</v>
      </c>
      <c r="F42" s="11">
        <v>4.9000000000000004</v>
      </c>
      <c r="G42" s="11">
        <v>4</v>
      </c>
      <c r="H42" s="11">
        <f t="shared" si="2"/>
        <v>4.5</v>
      </c>
      <c r="I42" s="12">
        <v>0.82</v>
      </c>
      <c r="J42" s="2" t="str">
        <f t="shared" si="3"/>
        <v>Reprovado por nota</v>
      </c>
      <c r="K42" s="1"/>
    </row>
    <row r="43" spans="1:11" x14ac:dyDescent="0.3">
      <c r="A43" s="2">
        <v>42</v>
      </c>
      <c r="B43" s="2" t="s">
        <v>99</v>
      </c>
      <c r="C43" s="2">
        <v>8</v>
      </c>
      <c r="D43" s="8">
        <v>45702</v>
      </c>
      <c r="E43" s="10" t="s">
        <v>167</v>
      </c>
      <c r="F43" s="11">
        <v>5.4</v>
      </c>
      <c r="G43" s="11">
        <v>4.9000000000000004</v>
      </c>
      <c r="H43" s="11">
        <f t="shared" si="2"/>
        <v>5.2</v>
      </c>
      <c r="I43" s="12">
        <v>0.89</v>
      </c>
      <c r="J43" s="2" t="str">
        <f t="shared" si="3"/>
        <v>Reprovado por nota</v>
      </c>
      <c r="K43" s="1"/>
    </row>
    <row r="44" spans="1:11" x14ac:dyDescent="0.3">
      <c r="A44" s="2">
        <v>43</v>
      </c>
      <c r="B44" s="2" t="s">
        <v>99</v>
      </c>
      <c r="C44" s="2">
        <v>9</v>
      </c>
      <c r="D44" s="8">
        <v>45703</v>
      </c>
      <c r="E44" s="10" t="s">
        <v>167</v>
      </c>
      <c r="F44" s="11">
        <v>5.9</v>
      </c>
      <c r="G44" s="11">
        <v>5.8</v>
      </c>
      <c r="H44" s="11">
        <f t="shared" si="2"/>
        <v>5.9</v>
      </c>
      <c r="I44" s="12">
        <v>0.96</v>
      </c>
      <c r="J44" s="2" t="str">
        <f t="shared" si="3"/>
        <v>Reprovado por nota</v>
      </c>
      <c r="K44" s="1"/>
    </row>
    <row r="45" spans="1:11" x14ac:dyDescent="0.3">
      <c r="A45" s="2">
        <v>44</v>
      </c>
      <c r="B45" s="2" t="s">
        <v>102</v>
      </c>
      <c r="C45" s="2">
        <v>10</v>
      </c>
      <c r="D45" s="8">
        <v>45702</v>
      </c>
      <c r="E45" s="10" t="s">
        <v>167</v>
      </c>
      <c r="F45" s="11">
        <v>5.6</v>
      </c>
      <c r="G45" s="11">
        <v>4.5</v>
      </c>
      <c r="H45" s="11">
        <f t="shared" si="2"/>
        <v>5.0999999999999996</v>
      </c>
      <c r="I45" s="12">
        <v>0.93</v>
      </c>
      <c r="J45" s="2" t="str">
        <f t="shared" si="3"/>
        <v>Reprovado por nota</v>
      </c>
      <c r="K45" s="1"/>
    </row>
    <row r="46" spans="1:11" x14ac:dyDescent="0.3">
      <c r="A46" s="2">
        <v>45</v>
      </c>
      <c r="B46" s="2" t="s">
        <v>102</v>
      </c>
      <c r="C46" s="2">
        <v>11</v>
      </c>
      <c r="D46" s="8">
        <v>45703</v>
      </c>
      <c r="E46" s="10" t="s">
        <v>167</v>
      </c>
      <c r="F46" s="11">
        <v>6.1</v>
      </c>
      <c r="G46" s="11">
        <v>5.4</v>
      </c>
      <c r="H46" s="11">
        <f t="shared" si="2"/>
        <v>5.8</v>
      </c>
      <c r="I46" s="12">
        <v>0.68</v>
      </c>
      <c r="J46" s="2" t="str">
        <f t="shared" si="3"/>
        <v>Reprovado por frequência</v>
      </c>
      <c r="K46" s="1"/>
    </row>
    <row r="47" spans="1:11" x14ac:dyDescent="0.3">
      <c r="A47" s="2">
        <v>46</v>
      </c>
      <c r="B47" s="2" t="s">
        <v>102</v>
      </c>
      <c r="C47" s="2">
        <v>12</v>
      </c>
      <c r="D47" s="8">
        <v>45704</v>
      </c>
      <c r="E47" s="10" t="s">
        <v>167</v>
      </c>
      <c r="F47" s="11">
        <v>6.6</v>
      </c>
      <c r="G47" s="11">
        <v>6.3</v>
      </c>
      <c r="H47" s="11">
        <f t="shared" si="2"/>
        <v>6.5</v>
      </c>
      <c r="I47" s="12">
        <v>0.75</v>
      </c>
      <c r="J47" s="2" t="str">
        <f t="shared" si="3"/>
        <v>Aprovado</v>
      </c>
      <c r="K47" s="1"/>
    </row>
    <row r="48" spans="1:11" x14ac:dyDescent="0.3">
      <c r="A48" s="2">
        <v>47</v>
      </c>
      <c r="B48" s="2" t="s">
        <v>105</v>
      </c>
      <c r="C48" s="2">
        <v>1</v>
      </c>
      <c r="D48" s="8">
        <v>45703</v>
      </c>
      <c r="E48" s="10" t="s">
        <v>167</v>
      </c>
      <c r="F48" s="11">
        <v>6.3</v>
      </c>
      <c r="G48" s="11">
        <v>5</v>
      </c>
      <c r="H48" s="11">
        <f t="shared" si="2"/>
        <v>5.7</v>
      </c>
      <c r="I48" s="12">
        <v>0.72</v>
      </c>
      <c r="J48" s="2" t="str">
        <f t="shared" si="3"/>
        <v>Reprovado por frequência</v>
      </c>
      <c r="K48" s="1"/>
    </row>
    <row r="49" spans="1:11" x14ac:dyDescent="0.3">
      <c r="A49" s="2">
        <v>48</v>
      </c>
      <c r="B49" s="2" t="s">
        <v>105</v>
      </c>
      <c r="C49" s="2">
        <v>2</v>
      </c>
      <c r="D49" s="8">
        <v>45704</v>
      </c>
      <c r="E49" s="10" t="s">
        <v>167</v>
      </c>
      <c r="F49" s="11">
        <v>6.8</v>
      </c>
      <c r="G49" s="11">
        <v>5.9</v>
      </c>
      <c r="H49" s="11">
        <f t="shared" si="2"/>
        <v>6.4</v>
      </c>
      <c r="I49" s="12">
        <v>0.79</v>
      </c>
      <c r="J49" s="2" t="str">
        <f t="shared" si="3"/>
        <v>Aprovado</v>
      </c>
      <c r="K49" s="1"/>
    </row>
    <row r="50" spans="1:11" x14ac:dyDescent="0.3">
      <c r="A50" s="2">
        <v>49</v>
      </c>
      <c r="B50" s="2" t="s">
        <v>105</v>
      </c>
      <c r="C50" s="2">
        <v>3</v>
      </c>
      <c r="D50" s="8">
        <v>45705</v>
      </c>
      <c r="E50" s="10" t="s">
        <v>167</v>
      </c>
      <c r="F50" s="11">
        <v>7.3</v>
      </c>
      <c r="G50" s="11">
        <v>6.8</v>
      </c>
      <c r="H50" s="11">
        <f t="shared" si="2"/>
        <v>7.1</v>
      </c>
      <c r="I50" s="12">
        <v>0.86</v>
      </c>
      <c r="J50" s="2" t="str">
        <f t="shared" si="3"/>
        <v>Aprovado</v>
      </c>
      <c r="K50" s="1"/>
    </row>
    <row r="51" spans="1:11" x14ac:dyDescent="0.3">
      <c r="A51" s="2">
        <v>50</v>
      </c>
      <c r="B51" s="2" t="s">
        <v>108</v>
      </c>
      <c r="C51" s="2">
        <v>4</v>
      </c>
      <c r="D51" s="8">
        <v>45704</v>
      </c>
      <c r="E51" s="10" t="s">
        <v>167</v>
      </c>
      <c r="F51" s="11">
        <v>7</v>
      </c>
      <c r="G51" s="11">
        <v>5.5</v>
      </c>
      <c r="H51" s="11">
        <f t="shared" si="2"/>
        <v>6.3</v>
      </c>
      <c r="I51" s="12">
        <v>0.83</v>
      </c>
      <c r="J51" s="2" t="str">
        <f t="shared" si="3"/>
        <v>Aprovado</v>
      </c>
      <c r="K51" s="1"/>
    </row>
    <row r="52" spans="1:11" x14ac:dyDescent="0.3">
      <c r="A52" s="2">
        <v>51</v>
      </c>
      <c r="B52" s="2" t="s">
        <v>108</v>
      </c>
      <c r="C52" s="2">
        <v>5</v>
      </c>
      <c r="D52" s="8">
        <v>45705</v>
      </c>
      <c r="E52" s="10" t="s">
        <v>167</v>
      </c>
      <c r="F52" s="11">
        <v>7.5</v>
      </c>
      <c r="G52" s="11">
        <v>6.4</v>
      </c>
      <c r="H52" s="11">
        <f t="shared" si="2"/>
        <v>7</v>
      </c>
      <c r="I52" s="12">
        <v>0.9</v>
      </c>
      <c r="J52" s="2" t="str">
        <f t="shared" si="3"/>
        <v>Aprovado</v>
      </c>
      <c r="K52" s="1"/>
    </row>
    <row r="53" spans="1:11" x14ac:dyDescent="0.3">
      <c r="A53" s="2">
        <v>52</v>
      </c>
      <c r="B53" s="2" t="s">
        <v>108</v>
      </c>
      <c r="C53" s="2">
        <v>6</v>
      </c>
      <c r="D53" s="8">
        <v>45691</v>
      </c>
      <c r="E53" s="10" t="s">
        <v>167</v>
      </c>
      <c r="F53" s="11">
        <v>8</v>
      </c>
      <c r="G53" s="11">
        <v>7.3</v>
      </c>
      <c r="H53" s="11">
        <f t="shared" si="2"/>
        <v>7.7</v>
      </c>
      <c r="I53" s="12">
        <v>0.97</v>
      </c>
      <c r="J53" s="2" t="str">
        <f t="shared" si="3"/>
        <v>Aprovado</v>
      </c>
      <c r="K53" s="1"/>
    </row>
    <row r="54" spans="1:11" x14ac:dyDescent="0.3">
      <c r="A54" s="2">
        <v>53</v>
      </c>
      <c r="B54" s="2" t="s">
        <v>111</v>
      </c>
      <c r="C54" s="2">
        <v>7</v>
      </c>
      <c r="D54" s="8">
        <v>45705</v>
      </c>
      <c r="E54" s="10" t="s">
        <v>167</v>
      </c>
      <c r="F54" s="11">
        <v>7.7</v>
      </c>
      <c r="G54" s="11">
        <v>6</v>
      </c>
      <c r="H54" s="11">
        <f t="shared" si="2"/>
        <v>6.9</v>
      </c>
      <c r="I54" s="12">
        <v>0.94</v>
      </c>
      <c r="J54" s="2" t="str">
        <f t="shared" si="3"/>
        <v>Aprovado</v>
      </c>
      <c r="K54" s="1"/>
    </row>
    <row r="55" spans="1:11" x14ac:dyDescent="0.3">
      <c r="A55" s="2">
        <v>54</v>
      </c>
      <c r="B55" s="2" t="s">
        <v>111</v>
      </c>
      <c r="C55" s="2">
        <v>8</v>
      </c>
      <c r="D55" s="8">
        <v>45691</v>
      </c>
      <c r="E55" s="10" t="s">
        <v>167</v>
      </c>
      <c r="F55" s="11">
        <v>8.1999999999999993</v>
      </c>
      <c r="G55" s="11">
        <v>6.9</v>
      </c>
      <c r="H55" s="11">
        <f t="shared" si="2"/>
        <v>7.6</v>
      </c>
      <c r="I55" s="12">
        <v>0.69</v>
      </c>
      <c r="J55" s="2" t="str">
        <f t="shared" si="3"/>
        <v>Reprovado por frequência</v>
      </c>
      <c r="K55" s="1"/>
    </row>
    <row r="56" spans="1:11" x14ac:dyDescent="0.3">
      <c r="A56" s="2">
        <v>55</v>
      </c>
      <c r="B56" s="2" t="s">
        <v>111</v>
      </c>
      <c r="C56" s="2">
        <v>9</v>
      </c>
      <c r="D56" s="8">
        <v>45692</v>
      </c>
      <c r="E56" s="10" t="s">
        <v>167</v>
      </c>
      <c r="F56" s="11">
        <v>8.6999999999999993</v>
      </c>
      <c r="G56" s="11">
        <v>7.8</v>
      </c>
      <c r="H56" s="11">
        <f t="shared" si="2"/>
        <v>8.3000000000000007</v>
      </c>
      <c r="I56" s="12">
        <v>0.76</v>
      </c>
      <c r="J56" s="2" t="str">
        <f t="shared" si="3"/>
        <v>Aprovado</v>
      </c>
      <c r="K56" s="1"/>
    </row>
    <row r="57" spans="1:11" x14ac:dyDescent="0.3">
      <c r="A57" s="2">
        <v>56</v>
      </c>
      <c r="B57" s="2" t="s">
        <v>114</v>
      </c>
      <c r="C57" s="2">
        <v>10</v>
      </c>
      <c r="D57" s="8">
        <v>45691</v>
      </c>
      <c r="E57" s="10" t="s">
        <v>167</v>
      </c>
      <c r="F57" s="11">
        <v>8.4</v>
      </c>
      <c r="G57" s="11">
        <v>6.5</v>
      </c>
      <c r="H57" s="11">
        <f t="shared" si="2"/>
        <v>7.5</v>
      </c>
      <c r="I57" s="12">
        <v>0.73</v>
      </c>
      <c r="J57" s="2" t="str">
        <f t="shared" si="3"/>
        <v>Reprovado por frequência</v>
      </c>
      <c r="K57" s="1"/>
    </row>
    <row r="58" spans="1:11" x14ac:dyDescent="0.3">
      <c r="A58" s="2">
        <v>57</v>
      </c>
      <c r="B58" s="2" t="s">
        <v>114</v>
      </c>
      <c r="C58" s="2">
        <v>11</v>
      </c>
      <c r="D58" s="8">
        <v>45692</v>
      </c>
      <c r="E58" s="10" t="s">
        <v>167</v>
      </c>
      <c r="F58" s="11">
        <v>8.9</v>
      </c>
      <c r="G58" s="11">
        <v>7.4</v>
      </c>
      <c r="H58" s="11">
        <f t="shared" si="2"/>
        <v>8.1999999999999993</v>
      </c>
      <c r="I58" s="12">
        <v>0.8</v>
      </c>
      <c r="J58" s="2" t="str">
        <f t="shared" si="3"/>
        <v>Aprovado</v>
      </c>
      <c r="K58" s="1"/>
    </row>
    <row r="59" spans="1:11" x14ac:dyDescent="0.3">
      <c r="A59" s="2">
        <v>58</v>
      </c>
      <c r="B59" s="2" t="s">
        <v>114</v>
      </c>
      <c r="C59" s="2">
        <v>12</v>
      </c>
      <c r="D59" s="8">
        <v>45693</v>
      </c>
      <c r="E59" s="10" t="s">
        <v>167</v>
      </c>
      <c r="F59" s="11">
        <v>9.4</v>
      </c>
      <c r="G59" s="11">
        <v>8.3000000000000007</v>
      </c>
      <c r="H59" s="11">
        <f t="shared" si="2"/>
        <v>8.9</v>
      </c>
      <c r="I59" s="12">
        <v>0.87</v>
      </c>
      <c r="J59" s="2" t="str">
        <f t="shared" si="3"/>
        <v>Aprovado</v>
      </c>
      <c r="K59" s="1"/>
    </row>
    <row r="60" spans="1:11" x14ac:dyDescent="0.3">
      <c r="A60" s="2">
        <v>59</v>
      </c>
      <c r="B60" s="2" t="s">
        <v>117</v>
      </c>
      <c r="C60" s="2">
        <v>1</v>
      </c>
      <c r="D60" s="8">
        <v>45692</v>
      </c>
      <c r="E60" s="10" t="s">
        <v>167</v>
      </c>
      <c r="F60" s="11">
        <v>9.1</v>
      </c>
      <c r="G60" s="11">
        <v>7</v>
      </c>
      <c r="H60" s="11">
        <f t="shared" si="2"/>
        <v>8.1</v>
      </c>
      <c r="I60" s="12">
        <v>0.84</v>
      </c>
      <c r="J60" s="2" t="str">
        <f t="shared" si="3"/>
        <v>Aprovado</v>
      </c>
      <c r="K60" s="1"/>
    </row>
    <row r="61" spans="1:11" x14ac:dyDescent="0.3">
      <c r="A61" s="2">
        <v>60</v>
      </c>
      <c r="B61" s="2" t="s">
        <v>117</v>
      </c>
      <c r="C61" s="2">
        <v>2</v>
      </c>
      <c r="D61" s="8">
        <v>45693</v>
      </c>
      <c r="E61" s="10" t="s">
        <v>167</v>
      </c>
      <c r="F61" s="11">
        <v>9.6</v>
      </c>
      <c r="G61" s="11">
        <v>7.9</v>
      </c>
      <c r="H61" s="11">
        <f t="shared" si="2"/>
        <v>8.8000000000000007</v>
      </c>
      <c r="I61" s="12">
        <v>0.91</v>
      </c>
      <c r="J61" s="2" t="str">
        <f t="shared" si="3"/>
        <v>Aprovado</v>
      </c>
      <c r="K61" s="1"/>
    </row>
    <row r="62" spans="1:11" x14ac:dyDescent="0.3">
      <c r="A62" s="2">
        <v>61</v>
      </c>
      <c r="B62" s="2" t="s">
        <v>117</v>
      </c>
      <c r="C62" s="2">
        <v>3</v>
      </c>
      <c r="D62" s="8">
        <v>45694</v>
      </c>
      <c r="E62" s="10" t="s">
        <v>167</v>
      </c>
      <c r="F62" s="11">
        <v>4</v>
      </c>
      <c r="G62" s="11">
        <v>8.8000000000000007</v>
      </c>
      <c r="H62" s="11">
        <f t="shared" si="2"/>
        <v>6.4</v>
      </c>
      <c r="I62" s="12">
        <v>0.98</v>
      </c>
      <c r="J62" s="2" t="str">
        <f t="shared" si="3"/>
        <v>Aprovado</v>
      </c>
      <c r="K62" s="1"/>
    </row>
    <row r="63" spans="1:11" x14ac:dyDescent="0.3">
      <c r="A63" s="2">
        <v>62</v>
      </c>
      <c r="B63" s="2" t="s">
        <v>120</v>
      </c>
      <c r="C63" s="2">
        <v>4</v>
      </c>
      <c r="D63" s="8">
        <v>45693</v>
      </c>
      <c r="E63" s="10" t="s">
        <v>167</v>
      </c>
      <c r="F63" s="11">
        <v>9.8000000000000007</v>
      </c>
      <c r="G63" s="11">
        <v>7.5</v>
      </c>
      <c r="H63" s="11">
        <f t="shared" si="2"/>
        <v>8.6999999999999993</v>
      </c>
      <c r="I63" s="12">
        <v>0.95</v>
      </c>
      <c r="J63" s="2" t="str">
        <f t="shared" si="3"/>
        <v>Aprovado</v>
      </c>
      <c r="K63" s="1"/>
    </row>
    <row r="64" spans="1:11" x14ac:dyDescent="0.3">
      <c r="A64" s="2">
        <v>63</v>
      </c>
      <c r="B64" s="2" t="s">
        <v>120</v>
      </c>
      <c r="C64" s="2">
        <v>5</v>
      </c>
      <c r="D64" s="8">
        <v>45694</v>
      </c>
      <c r="E64" s="10" t="s">
        <v>167</v>
      </c>
      <c r="F64" s="11">
        <v>4.2</v>
      </c>
      <c r="G64" s="11">
        <v>8.4</v>
      </c>
      <c r="H64" s="11">
        <f t="shared" si="2"/>
        <v>6.3</v>
      </c>
      <c r="I64" s="12">
        <v>0.7</v>
      </c>
      <c r="J64" s="2" t="str">
        <f t="shared" si="3"/>
        <v>Reprovado por frequência</v>
      </c>
      <c r="K64" s="1"/>
    </row>
    <row r="65" spans="1:11" x14ac:dyDescent="0.3">
      <c r="A65" s="2">
        <v>64</v>
      </c>
      <c r="B65" s="2" t="s">
        <v>120</v>
      </c>
      <c r="C65" s="2">
        <v>6</v>
      </c>
      <c r="D65" s="8">
        <v>45695</v>
      </c>
      <c r="E65" s="10" t="s">
        <v>167</v>
      </c>
      <c r="F65" s="11">
        <v>4.7</v>
      </c>
      <c r="G65" s="11">
        <v>9.3000000000000007</v>
      </c>
      <c r="H65" s="11">
        <f t="shared" si="2"/>
        <v>7</v>
      </c>
      <c r="I65" s="12">
        <v>0.77</v>
      </c>
      <c r="J65" s="2" t="str">
        <f t="shared" si="3"/>
        <v>Aprovado</v>
      </c>
      <c r="K65" s="1"/>
    </row>
    <row r="66" spans="1:11" x14ac:dyDescent="0.3">
      <c r="A66" s="2">
        <v>65</v>
      </c>
      <c r="B66" s="2" t="s">
        <v>123</v>
      </c>
      <c r="C66" s="2">
        <v>7</v>
      </c>
      <c r="D66" s="8">
        <v>45694</v>
      </c>
      <c r="E66" s="10" t="s">
        <v>167</v>
      </c>
      <c r="F66" s="11">
        <v>4.4000000000000004</v>
      </c>
      <c r="G66" s="11">
        <v>8</v>
      </c>
      <c r="H66" s="11">
        <f t="shared" ref="H66:H97" si="4">ROUND(AVERAGE(F66:G66),1)</f>
        <v>6.2</v>
      </c>
      <c r="I66" s="12">
        <v>0.74</v>
      </c>
      <c r="J66" s="2" t="str">
        <f t="shared" ref="J66:J97" si="5">IF(I66&lt;75%,"Reprovado por frequência",IF(H66&gt;=6,"Aprovado","Reprovado por nota"))</f>
        <v>Reprovado por frequência</v>
      </c>
      <c r="K66" s="1"/>
    </row>
    <row r="67" spans="1:11" x14ac:dyDescent="0.3">
      <c r="A67" s="2">
        <v>66</v>
      </c>
      <c r="B67" s="2" t="s">
        <v>123</v>
      </c>
      <c r="C67" s="2">
        <v>8</v>
      </c>
      <c r="D67" s="8">
        <v>45695</v>
      </c>
      <c r="E67" s="10" t="s">
        <v>167</v>
      </c>
      <c r="F67" s="11">
        <v>4.9000000000000004</v>
      </c>
      <c r="G67" s="11">
        <v>8.9</v>
      </c>
      <c r="H67" s="11">
        <f t="shared" si="4"/>
        <v>6.9</v>
      </c>
      <c r="I67" s="12">
        <v>0.81</v>
      </c>
      <c r="J67" s="2" t="str">
        <f t="shared" si="5"/>
        <v>Aprovado</v>
      </c>
      <c r="K67" s="1"/>
    </row>
    <row r="68" spans="1:11" x14ac:dyDescent="0.3">
      <c r="A68" s="2">
        <v>67</v>
      </c>
      <c r="B68" s="2" t="s">
        <v>123</v>
      </c>
      <c r="C68" s="2">
        <v>9</v>
      </c>
      <c r="D68" s="8">
        <v>45696</v>
      </c>
      <c r="E68" s="10" t="s">
        <v>167</v>
      </c>
      <c r="F68" s="11">
        <v>5.4</v>
      </c>
      <c r="G68" s="11">
        <v>9.8000000000000007</v>
      </c>
      <c r="H68" s="11">
        <f t="shared" si="4"/>
        <v>7.6</v>
      </c>
      <c r="I68" s="12">
        <v>0.88</v>
      </c>
      <c r="J68" s="2" t="str">
        <f t="shared" si="5"/>
        <v>Aprovado</v>
      </c>
      <c r="K68" s="1"/>
    </row>
    <row r="69" spans="1:11" x14ac:dyDescent="0.3">
      <c r="A69" s="2">
        <v>68</v>
      </c>
      <c r="B69" s="2" t="s">
        <v>126</v>
      </c>
      <c r="C69" s="2">
        <v>10</v>
      </c>
      <c r="D69" s="8">
        <v>45695</v>
      </c>
      <c r="E69" s="10" t="s">
        <v>167</v>
      </c>
      <c r="F69" s="11">
        <v>5.0999999999999996</v>
      </c>
      <c r="G69" s="11">
        <v>8.5</v>
      </c>
      <c r="H69" s="11">
        <f t="shared" si="4"/>
        <v>6.8</v>
      </c>
      <c r="I69" s="12">
        <v>0.85</v>
      </c>
      <c r="J69" s="2" t="str">
        <f t="shared" si="5"/>
        <v>Aprovado</v>
      </c>
      <c r="K69" s="1"/>
    </row>
    <row r="70" spans="1:11" x14ac:dyDescent="0.3">
      <c r="A70" s="2">
        <v>69</v>
      </c>
      <c r="B70" s="2" t="s">
        <v>126</v>
      </c>
      <c r="C70" s="2">
        <v>11</v>
      </c>
      <c r="D70" s="8">
        <v>45696</v>
      </c>
      <c r="E70" s="10" t="s">
        <v>167</v>
      </c>
      <c r="F70" s="11">
        <v>5.6</v>
      </c>
      <c r="G70" s="11">
        <v>9.4</v>
      </c>
      <c r="H70" s="11">
        <f t="shared" si="4"/>
        <v>7.5</v>
      </c>
      <c r="I70" s="12">
        <v>0.92</v>
      </c>
      <c r="J70" s="2" t="str">
        <f t="shared" si="5"/>
        <v>Aprovado</v>
      </c>
      <c r="K70" s="1"/>
    </row>
    <row r="71" spans="1:11" x14ac:dyDescent="0.3">
      <c r="A71" s="2">
        <v>70</v>
      </c>
      <c r="B71" s="2" t="s">
        <v>126</v>
      </c>
      <c r="C71" s="2">
        <v>12</v>
      </c>
      <c r="D71" s="8">
        <v>45697</v>
      </c>
      <c r="E71" s="10" t="s">
        <v>167</v>
      </c>
      <c r="F71" s="11">
        <v>6.1</v>
      </c>
      <c r="G71" s="11">
        <v>4.2</v>
      </c>
      <c r="H71" s="11">
        <f t="shared" si="4"/>
        <v>5.2</v>
      </c>
      <c r="I71" s="12">
        <v>0.99</v>
      </c>
      <c r="J71" s="2" t="str">
        <f t="shared" si="5"/>
        <v>Reprovado por nota</v>
      </c>
      <c r="K71" s="1"/>
    </row>
    <row r="72" spans="1:11" x14ac:dyDescent="0.3">
      <c r="A72" s="2">
        <v>71</v>
      </c>
      <c r="B72" s="2" t="s">
        <v>129</v>
      </c>
      <c r="C72" s="2">
        <v>1</v>
      </c>
      <c r="D72" s="8">
        <v>45696</v>
      </c>
      <c r="E72" s="10" t="s">
        <v>167</v>
      </c>
      <c r="F72" s="11">
        <v>5.8</v>
      </c>
      <c r="G72" s="11">
        <v>9</v>
      </c>
      <c r="H72" s="11">
        <f t="shared" si="4"/>
        <v>7.4</v>
      </c>
      <c r="I72" s="12">
        <v>0.96</v>
      </c>
      <c r="J72" s="2" t="str">
        <f t="shared" si="5"/>
        <v>Aprovado</v>
      </c>
      <c r="K72" s="1"/>
    </row>
    <row r="73" spans="1:11" x14ac:dyDescent="0.3">
      <c r="A73" s="2">
        <v>72</v>
      </c>
      <c r="B73" s="2" t="s">
        <v>129</v>
      </c>
      <c r="C73" s="2">
        <v>2</v>
      </c>
      <c r="D73" s="8">
        <v>45697</v>
      </c>
      <c r="E73" s="10" t="s">
        <v>167</v>
      </c>
      <c r="F73" s="11">
        <v>6.3</v>
      </c>
      <c r="G73" s="11">
        <v>9.9</v>
      </c>
      <c r="H73" s="11">
        <f t="shared" si="4"/>
        <v>8.1</v>
      </c>
      <c r="I73" s="12">
        <v>0.71</v>
      </c>
      <c r="J73" s="2" t="str">
        <f t="shared" si="5"/>
        <v>Reprovado por frequência</v>
      </c>
      <c r="K73" s="1"/>
    </row>
    <row r="74" spans="1:11" x14ac:dyDescent="0.3">
      <c r="A74" s="2">
        <v>73</v>
      </c>
      <c r="B74" s="2" t="s">
        <v>129</v>
      </c>
      <c r="C74" s="2">
        <v>3</v>
      </c>
      <c r="D74" s="8">
        <v>45698</v>
      </c>
      <c r="E74" s="10" t="s">
        <v>167</v>
      </c>
      <c r="F74" s="11">
        <v>6.8</v>
      </c>
      <c r="G74" s="11">
        <v>4.7</v>
      </c>
      <c r="H74" s="11">
        <f t="shared" si="4"/>
        <v>5.8</v>
      </c>
      <c r="I74" s="12">
        <v>0.78</v>
      </c>
      <c r="J74" s="2" t="str">
        <f t="shared" si="5"/>
        <v>Reprovado por nota</v>
      </c>
      <c r="K74" s="1"/>
    </row>
    <row r="75" spans="1:11" x14ac:dyDescent="0.3">
      <c r="A75" s="2">
        <v>74</v>
      </c>
      <c r="B75" s="2" t="s">
        <v>132</v>
      </c>
      <c r="C75" s="2">
        <v>4</v>
      </c>
      <c r="D75" s="8">
        <v>45697</v>
      </c>
      <c r="E75" s="10" t="s">
        <v>167</v>
      </c>
      <c r="F75" s="11">
        <v>6.5</v>
      </c>
      <c r="G75" s="11">
        <v>9.5</v>
      </c>
      <c r="H75" s="11">
        <f t="shared" si="4"/>
        <v>8</v>
      </c>
      <c r="I75" s="12">
        <v>0.75</v>
      </c>
      <c r="J75" s="2" t="str">
        <f t="shared" si="5"/>
        <v>Aprovado</v>
      </c>
      <c r="K75" s="1"/>
    </row>
    <row r="76" spans="1:11" x14ac:dyDescent="0.3">
      <c r="A76" s="2">
        <v>75</v>
      </c>
      <c r="B76" s="2" t="s">
        <v>132</v>
      </c>
      <c r="C76" s="2">
        <v>5</v>
      </c>
      <c r="D76" s="8">
        <v>45698</v>
      </c>
      <c r="E76" s="10" t="s">
        <v>167</v>
      </c>
      <c r="F76" s="11">
        <v>7</v>
      </c>
      <c r="G76" s="11">
        <v>4.3</v>
      </c>
      <c r="H76" s="11">
        <f t="shared" si="4"/>
        <v>5.7</v>
      </c>
      <c r="I76" s="12">
        <v>0.82</v>
      </c>
      <c r="J76" s="2" t="str">
        <f t="shared" si="5"/>
        <v>Reprovado por nota</v>
      </c>
      <c r="K76" s="1"/>
    </row>
    <row r="77" spans="1:11" x14ac:dyDescent="0.3">
      <c r="A77" s="2">
        <v>76</v>
      </c>
      <c r="B77" s="2" t="s">
        <v>132</v>
      </c>
      <c r="C77" s="2">
        <v>6</v>
      </c>
      <c r="D77" s="8">
        <v>45699</v>
      </c>
      <c r="E77" s="10" t="s">
        <v>167</v>
      </c>
      <c r="F77" s="11">
        <v>7.5</v>
      </c>
      <c r="G77" s="11">
        <v>5.2</v>
      </c>
      <c r="H77" s="11">
        <f t="shared" si="4"/>
        <v>6.4</v>
      </c>
      <c r="I77" s="12">
        <v>0.89</v>
      </c>
      <c r="J77" s="2" t="str">
        <f t="shared" si="5"/>
        <v>Aprovado</v>
      </c>
      <c r="K77" s="1"/>
    </row>
    <row r="78" spans="1:11" x14ac:dyDescent="0.3">
      <c r="A78" s="2">
        <v>77</v>
      </c>
      <c r="B78" s="2" t="s">
        <v>135</v>
      </c>
      <c r="C78" s="2">
        <v>7</v>
      </c>
      <c r="D78" s="8">
        <v>45698</v>
      </c>
      <c r="E78" s="10" t="s">
        <v>167</v>
      </c>
      <c r="F78" s="11">
        <v>7.2</v>
      </c>
      <c r="G78" s="11">
        <v>10</v>
      </c>
      <c r="H78" s="11">
        <f t="shared" si="4"/>
        <v>8.6</v>
      </c>
      <c r="I78" s="12">
        <v>0.86</v>
      </c>
      <c r="J78" s="2" t="str">
        <f t="shared" si="5"/>
        <v>Aprovado</v>
      </c>
      <c r="K78" s="1"/>
    </row>
    <row r="79" spans="1:11" x14ac:dyDescent="0.3">
      <c r="A79" s="2">
        <v>78</v>
      </c>
      <c r="B79" s="2" t="s">
        <v>135</v>
      </c>
      <c r="C79" s="2">
        <v>8</v>
      </c>
      <c r="D79" s="8">
        <v>45699</v>
      </c>
      <c r="E79" s="10" t="s">
        <v>167</v>
      </c>
      <c r="F79" s="11">
        <v>7.7</v>
      </c>
      <c r="G79" s="11">
        <v>4.8</v>
      </c>
      <c r="H79" s="11">
        <f t="shared" si="4"/>
        <v>6.3</v>
      </c>
      <c r="I79" s="12">
        <v>0.93</v>
      </c>
      <c r="J79" s="2" t="str">
        <f t="shared" si="5"/>
        <v>Aprovado</v>
      </c>
      <c r="K79" s="1"/>
    </row>
    <row r="80" spans="1:11" x14ac:dyDescent="0.3">
      <c r="A80" s="2">
        <v>79</v>
      </c>
      <c r="B80" s="2" t="s">
        <v>135</v>
      </c>
      <c r="C80" s="2">
        <v>9</v>
      </c>
      <c r="D80" s="8">
        <v>45700</v>
      </c>
      <c r="E80" s="10" t="s">
        <v>167</v>
      </c>
      <c r="F80" s="11">
        <v>8.1999999999999993</v>
      </c>
      <c r="G80" s="11">
        <v>5.7</v>
      </c>
      <c r="H80" s="11">
        <f t="shared" si="4"/>
        <v>7</v>
      </c>
      <c r="I80" s="12">
        <v>0.68</v>
      </c>
      <c r="J80" s="2" t="str">
        <f t="shared" si="5"/>
        <v>Reprovado por frequência</v>
      </c>
      <c r="K80" s="1"/>
    </row>
    <row r="81" spans="1:11" x14ac:dyDescent="0.3">
      <c r="A81" s="2">
        <v>80</v>
      </c>
      <c r="B81" s="2" t="s">
        <v>138</v>
      </c>
      <c r="C81" s="2">
        <v>10</v>
      </c>
      <c r="D81" s="8">
        <v>45699</v>
      </c>
      <c r="E81" s="10" t="s">
        <v>167</v>
      </c>
      <c r="F81" s="11">
        <v>7.9</v>
      </c>
      <c r="G81" s="11">
        <v>4.4000000000000004</v>
      </c>
      <c r="H81" s="11">
        <f t="shared" si="4"/>
        <v>6.2</v>
      </c>
      <c r="I81" s="12">
        <v>0.97</v>
      </c>
      <c r="J81" s="2" t="str">
        <f t="shared" si="5"/>
        <v>Aprovado</v>
      </c>
      <c r="K81" s="1"/>
    </row>
    <row r="82" spans="1:11" x14ac:dyDescent="0.3">
      <c r="A82" s="2">
        <v>81</v>
      </c>
      <c r="B82" s="2" t="s">
        <v>138</v>
      </c>
      <c r="C82" s="2">
        <v>11</v>
      </c>
      <c r="D82" s="8">
        <v>45700</v>
      </c>
      <c r="E82" s="10" t="s">
        <v>167</v>
      </c>
      <c r="F82" s="11">
        <v>8.4</v>
      </c>
      <c r="G82" s="11">
        <v>5.3</v>
      </c>
      <c r="H82" s="11">
        <f t="shared" si="4"/>
        <v>6.9</v>
      </c>
      <c r="I82" s="12">
        <v>0.72</v>
      </c>
      <c r="J82" s="2" t="str">
        <f t="shared" si="5"/>
        <v>Reprovado por frequência</v>
      </c>
      <c r="K82" s="1"/>
    </row>
    <row r="83" spans="1:11" x14ac:dyDescent="0.3">
      <c r="A83" s="2">
        <v>82</v>
      </c>
      <c r="B83" s="2" t="s">
        <v>138</v>
      </c>
      <c r="C83" s="2">
        <v>12</v>
      </c>
      <c r="D83" s="8">
        <v>45701</v>
      </c>
      <c r="E83" s="10" t="s">
        <v>167</v>
      </c>
      <c r="F83" s="11">
        <v>8.9</v>
      </c>
      <c r="G83" s="11">
        <v>6.2</v>
      </c>
      <c r="H83" s="11">
        <f t="shared" si="4"/>
        <v>7.6</v>
      </c>
      <c r="I83" s="12">
        <v>0.79</v>
      </c>
      <c r="J83" s="2" t="str">
        <f t="shared" si="5"/>
        <v>Aprovado</v>
      </c>
      <c r="K83" s="1"/>
    </row>
    <row r="84" spans="1:11" x14ac:dyDescent="0.3">
      <c r="A84" s="2">
        <v>83</v>
      </c>
      <c r="B84" s="2" t="s">
        <v>141</v>
      </c>
      <c r="C84" s="2">
        <v>1</v>
      </c>
      <c r="D84" s="8">
        <v>45700</v>
      </c>
      <c r="E84" s="10" t="s">
        <v>167</v>
      </c>
      <c r="F84" s="11">
        <v>8.6</v>
      </c>
      <c r="G84" s="11">
        <v>4.9000000000000004</v>
      </c>
      <c r="H84" s="11">
        <f t="shared" si="4"/>
        <v>6.8</v>
      </c>
      <c r="I84" s="12">
        <v>0.76</v>
      </c>
      <c r="J84" s="2" t="str">
        <f t="shared" si="5"/>
        <v>Aprovado</v>
      </c>
      <c r="K84" s="1"/>
    </row>
    <row r="85" spans="1:11" x14ac:dyDescent="0.3">
      <c r="A85" s="2">
        <v>84</v>
      </c>
      <c r="B85" s="2" t="s">
        <v>141</v>
      </c>
      <c r="C85" s="2">
        <v>2</v>
      </c>
      <c r="D85" s="8">
        <v>45701</v>
      </c>
      <c r="E85" s="10" t="s">
        <v>167</v>
      </c>
      <c r="F85" s="11">
        <v>9.1</v>
      </c>
      <c r="G85" s="11">
        <v>5.8</v>
      </c>
      <c r="H85" s="11">
        <f t="shared" si="4"/>
        <v>7.5</v>
      </c>
      <c r="I85" s="12">
        <v>0.83</v>
      </c>
      <c r="J85" s="2" t="str">
        <f t="shared" si="5"/>
        <v>Aprovado</v>
      </c>
      <c r="K85" s="1"/>
    </row>
    <row r="86" spans="1:11" x14ac:dyDescent="0.3">
      <c r="A86" s="2">
        <v>85</v>
      </c>
      <c r="B86" s="2" t="s">
        <v>141</v>
      </c>
      <c r="C86" s="2">
        <v>3</v>
      </c>
      <c r="D86" s="8">
        <v>45702</v>
      </c>
      <c r="E86" s="10" t="s">
        <v>167</v>
      </c>
      <c r="F86" s="11">
        <v>9.6</v>
      </c>
      <c r="G86" s="11">
        <v>6.7</v>
      </c>
      <c r="H86" s="11">
        <f t="shared" si="4"/>
        <v>8.1999999999999993</v>
      </c>
      <c r="I86" s="12">
        <v>0.9</v>
      </c>
      <c r="J86" s="2" t="str">
        <f t="shared" si="5"/>
        <v>Aprovado</v>
      </c>
      <c r="K86" s="1"/>
    </row>
    <row r="87" spans="1:11" x14ac:dyDescent="0.3">
      <c r="A87" s="2">
        <v>86</v>
      </c>
      <c r="B87" s="2" t="s">
        <v>144</v>
      </c>
      <c r="C87" s="2">
        <v>4</v>
      </c>
      <c r="D87" s="8">
        <v>45701</v>
      </c>
      <c r="E87" s="10" t="s">
        <v>167</v>
      </c>
      <c r="F87" s="11">
        <v>9.3000000000000007</v>
      </c>
      <c r="G87" s="11">
        <v>5.4</v>
      </c>
      <c r="H87" s="11">
        <f t="shared" si="4"/>
        <v>7.4</v>
      </c>
      <c r="I87" s="12">
        <v>0.87</v>
      </c>
      <c r="J87" s="2" t="str">
        <f t="shared" si="5"/>
        <v>Aprovado</v>
      </c>
      <c r="K87" s="1"/>
    </row>
    <row r="88" spans="1:11" x14ac:dyDescent="0.3">
      <c r="A88" s="2">
        <v>87</v>
      </c>
      <c r="B88" s="2" t="s">
        <v>144</v>
      </c>
      <c r="C88" s="2">
        <v>5</v>
      </c>
      <c r="D88" s="8">
        <v>45702</v>
      </c>
      <c r="E88" s="10" t="s">
        <v>167</v>
      </c>
      <c r="F88" s="11">
        <v>9.8000000000000007</v>
      </c>
      <c r="G88" s="11">
        <v>6.3</v>
      </c>
      <c r="H88" s="11">
        <f t="shared" si="4"/>
        <v>8.1</v>
      </c>
      <c r="I88" s="12">
        <v>0.94</v>
      </c>
      <c r="J88" s="2" t="str">
        <f t="shared" si="5"/>
        <v>Aprovado</v>
      </c>
      <c r="K88" s="1"/>
    </row>
    <row r="89" spans="1:11" x14ac:dyDescent="0.3">
      <c r="A89" s="2">
        <v>88</v>
      </c>
      <c r="B89" s="2" t="s">
        <v>144</v>
      </c>
      <c r="C89" s="2">
        <v>6</v>
      </c>
      <c r="D89" s="8">
        <v>45703</v>
      </c>
      <c r="E89" s="10" t="s">
        <v>167</v>
      </c>
      <c r="F89" s="11">
        <v>4.2</v>
      </c>
      <c r="G89" s="11">
        <v>7.2</v>
      </c>
      <c r="H89" s="11">
        <f t="shared" si="4"/>
        <v>5.7</v>
      </c>
      <c r="I89" s="12">
        <v>0.69</v>
      </c>
      <c r="J89" s="2" t="str">
        <f t="shared" si="5"/>
        <v>Reprovado por frequência</v>
      </c>
      <c r="K89" s="1"/>
    </row>
    <row r="90" spans="1:11" x14ac:dyDescent="0.3">
      <c r="A90" s="2">
        <v>89</v>
      </c>
      <c r="B90" s="2" t="s">
        <v>147</v>
      </c>
      <c r="C90" s="2">
        <v>7</v>
      </c>
      <c r="D90" s="8">
        <v>45702</v>
      </c>
      <c r="E90" s="10" t="s">
        <v>167</v>
      </c>
      <c r="F90" s="11">
        <v>10</v>
      </c>
      <c r="G90" s="11">
        <v>5.9</v>
      </c>
      <c r="H90" s="11">
        <f t="shared" si="4"/>
        <v>8</v>
      </c>
      <c r="I90" s="12">
        <v>0.98</v>
      </c>
      <c r="J90" s="2" t="str">
        <f t="shared" si="5"/>
        <v>Aprovado</v>
      </c>
      <c r="K90" s="1"/>
    </row>
    <row r="91" spans="1:11" x14ac:dyDescent="0.3">
      <c r="A91" s="2">
        <v>90</v>
      </c>
      <c r="B91" s="2" t="s">
        <v>147</v>
      </c>
      <c r="C91" s="2">
        <v>8</v>
      </c>
      <c r="D91" s="8">
        <v>45703</v>
      </c>
      <c r="E91" s="10" t="s">
        <v>167</v>
      </c>
      <c r="F91" s="11">
        <v>4.4000000000000004</v>
      </c>
      <c r="G91" s="11">
        <v>6.8</v>
      </c>
      <c r="H91" s="11">
        <f t="shared" si="4"/>
        <v>5.6</v>
      </c>
      <c r="I91" s="12">
        <v>0.73</v>
      </c>
      <c r="J91" s="2" t="str">
        <f t="shared" si="5"/>
        <v>Reprovado por frequência</v>
      </c>
      <c r="K91" s="1"/>
    </row>
    <row r="92" spans="1:11" x14ac:dyDescent="0.3">
      <c r="A92" s="2">
        <v>91</v>
      </c>
      <c r="B92" s="2" t="s">
        <v>147</v>
      </c>
      <c r="C92" s="2">
        <v>9</v>
      </c>
      <c r="D92" s="8">
        <v>45704</v>
      </c>
      <c r="E92" s="10" t="s">
        <v>167</v>
      </c>
      <c r="F92" s="11">
        <v>4.9000000000000004</v>
      </c>
      <c r="G92" s="11">
        <v>7.7</v>
      </c>
      <c r="H92" s="11">
        <f t="shared" si="4"/>
        <v>6.3</v>
      </c>
      <c r="I92" s="12">
        <v>0.8</v>
      </c>
      <c r="J92" s="2" t="str">
        <f t="shared" si="5"/>
        <v>Aprovado</v>
      </c>
      <c r="K92" s="1"/>
    </row>
    <row r="93" spans="1:11" x14ac:dyDescent="0.3">
      <c r="A93" s="2">
        <v>92</v>
      </c>
      <c r="B93" s="2" t="s">
        <v>150</v>
      </c>
      <c r="C93" s="2">
        <v>10</v>
      </c>
      <c r="D93" s="8">
        <v>45703</v>
      </c>
      <c r="E93" s="10" t="s">
        <v>167</v>
      </c>
      <c r="F93" s="11">
        <v>4.5999999999999996</v>
      </c>
      <c r="G93" s="11">
        <v>6.4</v>
      </c>
      <c r="H93" s="11">
        <f t="shared" si="4"/>
        <v>5.5</v>
      </c>
      <c r="I93" s="12">
        <v>0.77</v>
      </c>
      <c r="J93" s="2" t="str">
        <f t="shared" si="5"/>
        <v>Reprovado por nota</v>
      </c>
      <c r="K93" s="1"/>
    </row>
    <row r="94" spans="1:11" x14ac:dyDescent="0.3">
      <c r="A94" s="2">
        <v>93</v>
      </c>
      <c r="B94" s="2" t="s">
        <v>150</v>
      </c>
      <c r="C94" s="2">
        <v>11</v>
      </c>
      <c r="D94" s="8">
        <v>45704</v>
      </c>
      <c r="E94" s="10" t="s">
        <v>167</v>
      </c>
      <c r="F94" s="11">
        <v>5.0999999999999996</v>
      </c>
      <c r="G94" s="11">
        <v>7.3</v>
      </c>
      <c r="H94" s="11">
        <f t="shared" si="4"/>
        <v>6.2</v>
      </c>
      <c r="I94" s="12">
        <v>0.84</v>
      </c>
      <c r="J94" s="2" t="str">
        <f t="shared" si="5"/>
        <v>Aprovado</v>
      </c>
      <c r="K94" s="1"/>
    </row>
    <row r="95" spans="1:11" x14ac:dyDescent="0.3">
      <c r="A95" s="2">
        <v>94</v>
      </c>
      <c r="B95" s="2" t="s">
        <v>150</v>
      </c>
      <c r="C95" s="2">
        <v>12</v>
      </c>
      <c r="D95" s="8">
        <v>45705</v>
      </c>
      <c r="E95" s="10" t="s">
        <v>167</v>
      </c>
      <c r="F95" s="11">
        <v>5.6</v>
      </c>
      <c r="G95" s="11">
        <v>8.1999999999999993</v>
      </c>
      <c r="H95" s="11">
        <f t="shared" si="4"/>
        <v>6.9</v>
      </c>
      <c r="I95" s="12">
        <v>0.91</v>
      </c>
      <c r="J95" s="2" t="str">
        <f t="shared" si="5"/>
        <v>Aprovado</v>
      </c>
      <c r="K95" s="1"/>
    </row>
    <row r="96" spans="1:11" x14ac:dyDescent="0.3">
      <c r="A96" s="2">
        <v>95</v>
      </c>
      <c r="B96" s="2" t="s">
        <v>153</v>
      </c>
      <c r="C96" s="2">
        <v>1</v>
      </c>
      <c r="D96" s="8">
        <v>45704</v>
      </c>
      <c r="E96" s="10" t="s">
        <v>167</v>
      </c>
      <c r="F96" s="11">
        <v>5.3</v>
      </c>
      <c r="G96" s="11">
        <v>6.9</v>
      </c>
      <c r="H96" s="11">
        <f t="shared" si="4"/>
        <v>6.1</v>
      </c>
      <c r="I96" s="12">
        <v>0.88</v>
      </c>
      <c r="J96" s="2" t="str">
        <f t="shared" si="5"/>
        <v>Aprovado</v>
      </c>
      <c r="K96" s="1"/>
    </row>
    <row r="97" spans="1:11" x14ac:dyDescent="0.3">
      <c r="A97" s="2">
        <v>96</v>
      </c>
      <c r="B97" s="2" t="s">
        <v>153</v>
      </c>
      <c r="C97" s="2">
        <v>2</v>
      </c>
      <c r="D97" s="8">
        <v>45705</v>
      </c>
      <c r="E97" s="10" t="s">
        <v>167</v>
      </c>
      <c r="F97" s="11">
        <v>5.8</v>
      </c>
      <c r="G97" s="11">
        <v>7.8</v>
      </c>
      <c r="H97" s="11">
        <f t="shared" si="4"/>
        <v>6.8</v>
      </c>
      <c r="I97" s="12">
        <v>0.95</v>
      </c>
      <c r="J97" s="2" t="str">
        <f t="shared" si="5"/>
        <v>Aprovado</v>
      </c>
      <c r="K97" s="1"/>
    </row>
    <row r="98" spans="1:11" x14ac:dyDescent="0.3">
      <c r="A98" s="2">
        <v>97</v>
      </c>
      <c r="B98" s="2" t="s">
        <v>153</v>
      </c>
      <c r="C98" s="2">
        <v>3</v>
      </c>
      <c r="D98" s="8">
        <v>45691</v>
      </c>
      <c r="E98" s="10" t="s">
        <v>167</v>
      </c>
      <c r="F98" s="11">
        <v>6.3</v>
      </c>
      <c r="G98" s="11">
        <v>8.6999999999999993</v>
      </c>
      <c r="H98" s="11">
        <f t="shared" ref="H98:H129" si="6">ROUND(AVERAGE(F98:G98),1)</f>
        <v>7.5</v>
      </c>
      <c r="I98" s="12">
        <v>0.7</v>
      </c>
      <c r="J98" s="2" t="str">
        <f t="shared" ref="J98:J129" si="7">IF(I98&lt;75%,"Reprovado por frequência",IF(H98&gt;=6,"Aprovado","Reprovado por nota"))</f>
        <v>Reprovado por frequência</v>
      </c>
      <c r="K98" s="1"/>
    </row>
    <row r="99" spans="1:11" x14ac:dyDescent="0.3">
      <c r="A99" s="2">
        <v>98</v>
      </c>
      <c r="B99" s="2" t="s">
        <v>156</v>
      </c>
      <c r="C99" s="2">
        <v>4</v>
      </c>
      <c r="D99" s="8">
        <v>45705</v>
      </c>
      <c r="E99" s="10" t="s">
        <v>167</v>
      </c>
      <c r="F99" s="11">
        <v>6</v>
      </c>
      <c r="G99" s="11">
        <v>7.4</v>
      </c>
      <c r="H99" s="11">
        <f t="shared" si="6"/>
        <v>6.7</v>
      </c>
      <c r="I99" s="12">
        <v>0.99</v>
      </c>
      <c r="J99" s="2" t="str">
        <f t="shared" si="7"/>
        <v>Aprovado</v>
      </c>
      <c r="K99" s="1"/>
    </row>
    <row r="100" spans="1:11" x14ac:dyDescent="0.3">
      <c r="A100" s="2">
        <v>99</v>
      </c>
      <c r="B100" s="2" t="s">
        <v>156</v>
      </c>
      <c r="C100" s="2">
        <v>5</v>
      </c>
      <c r="D100" s="8">
        <v>45691</v>
      </c>
      <c r="E100" s="10" t="s">
        <v>167</v>
      </c>
      <c r="F100" s="11">
        <v>6.5</v>
      </c>
      <c r="G100" s="11">
        <v>8.3000000000000007</v>
      </c>
      <c r="H100" s="11">
        <f t="shared" si="6"/>
        <v>7.4</v>
      </c>
      <c r="I100" s="12">
        <v>0.74</v>
      </c>
      <c r="J100" s="2" t="str">
        <f t="shared" si="7"/>
        <v>Reprovado por frequência</v>
      </c>
      <c r="K100" s="1"/>
    </row>
    <row r="101" spans="1:11" x14ac:dyDescent="0.3">
      <c r="A101" s="2">
        <v>100</v>
      </c>
      <c r="B101" s="6" t="s">
        <v>156</v>
      </c>
      <c r="C101" s="6">
        <v>6</v>
      </c>
      <c r="D101" s="9">
        <v>45692</v>
      </c>
      <c r="E101" s="13" t="s">
        <v>167</v>
      </c>
      <c r="F101" s="14">
        <v>7</v>
      </c>
      <c r="G101" s="14">
        <v>9.1999999999999993</v>
      </c>
      <c r="H101" s="14">
        <f t="shared" si="6"/>
        <v>8.1</v>
      </c>
      <c r="I101" s="15">
        <v>0.81</v>
      </c>
      <c r="J101" s="6" t="str">
        <f t="shared" si="7"/>
        <v>Aprovado</v>
      </c>
      <c r="K101" s="1"/>
    </row>
    <row r="102" spans="1:1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Power BI</vt:lpstr>
      <vt:lpstr>Alunos</vt:lpstr>
      <vt:lpstr>Cursos</vt:lpstr>
      <vt:lpstr>Disciplinas</vt:lpstr>
      <vt:lpstr>Matriculas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SALERNO</dc:creator>
  <cp:lastModifiedBy>ANDRE SALERNO</cp:lastModifiedBy>
  <dcterms:created xsi:type="dcterms:W3CDTF">2026-08-25T00:03:27Z</dcterms:created>
  <dcterms:modified xsi:type="dcterms:W3CDTF">2026-08-27T20:27:35Z</dcterms:modified>
</cp:coreProperties>
</file>