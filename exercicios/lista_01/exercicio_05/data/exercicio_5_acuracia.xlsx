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fatec\6-sem\mineracao\aula-05\lista_01\exercicio_05\"/>
    </mc:Choice>
  </mc:AlternateContent>
  <xr:revisionPtr revIDLastSave="0" documentId="13_ncr:1_{1C0FE81B-91A2-4D21-A90E-E8FB64C8EB09}" xr6:coauthVersionLast="47" xr6:coauthVersionMax="47" xr10:uidLastSave="{00000000-0000-0000-0000-000000000000}"/>
  <bookViews>
    <workbookView xWindow="-108" yWindow="-108" windowWidth="23256" windowHeight="12456" xr2:uid="{6ADBA34F-1810-4D51-8010-129ED9A1CCE8}"/>
  </bookViews>
  <sheets>
    <sheet name="Capa" sheetId="1" r:id="rId1"/>
    <sheet name="Base Clientes" sheetId="2" r:id="rId2"/>
    <sheet name="Fonte Referência" sheetId="3" r:id="rId3"/>
    <sheet name="Respost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C6" i="1" a="1"/>
  <c r="A6" i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C9" i="1" l="1"/>
  <c r="G6" i="1"/>
  <c r="E9" i="1"/>
  <c r="A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<sst xmlns="http://schemas.openxmlformats.org/spreadsheetml/2006/main" count="1047" uniqueCount="502">
  <si>
    <t>EXERCÍCIO 5 — QUALIDADE DE DADOS</t>
  </si>
  <si>
    <t>Base fictícia para análise de acurácia, duplicidade e consistência no Excel, CSV e Orange</t>
  </si>
  <si>
    <t>RESUMO DOS TESTES</t>
  </si>
  <si>
    <t>Registros totais</t>
  </si>
  <si>
    <t>Cliente_ID</t>
  </si>
  <si>
    <t>Nome_Completo</t>
  </si>
  <si>
    <t>Estado_Correto</t>
  </si>
  <si>
    <t>Observacao</t>
  </si>
  <si>
    <t>C0010</t>
  </si>
  <si>
    <t>Joao Martins</t>
  </si>
  <si>
    <t>CE</t>
  </si>
  <si>
    <t>Base principal alterada intencionalmente</t>
  </si>
  <si>
    <t>C0023</t>
  </si>
  <si>
    <t>Carla Nascimento</t>
  </si>
  <si>
    <t>MG</t>
  </si>
  <si>
    <t>C0037</t>
  </si>
  <si>
    <t>Renata Costa</t>
  </si>
  <si>
    <t>BA</t>
  </si>
  <si>
    <t>C0052</t>
  </si>
  <si>
    <t>Lucas Costa</t>
  </si>
  <si>
    <t>RJ</t>
  </si>
  <si>
    <t>C0068</t>
  </si>
  <si>
    <t>Henrique Nascimento</t>
  </si>
  <si>
    <t>PE</t>
  </si>
  <si>
    <t>C0084</t>
  </si>
  <si>
    <t>Diego Fernandes</t>
  </si>
  <si>
    <t>PR</t>
  </si>
  <si>
    <t>C0003</t>
  </si>
  <si>
    <t>Registro de controle</t>
  </si>
  <si>
    <t>C0014</t>
  </si>
  <si>
    <t>Nicolas Fernandes</t>
  </si>
  <si>
    <t>C0041</t>
  </si>
  <si>
    <t>Ana Oliveira</t>
  </si>
  <si>
    <t>SP</t>
  </si>
  <si>
    <t>C0059</t>
  </si>
  <si>
    <t>Tatiana Fernandes</t>
  </si>
  <si>
    <t>GO</t>
  </si>
  <si>
    <t>C0076</t>
  </si>
  <si>
    <t>Paulo Oliveira</t>
  </si>
  <si>
    <t>SC</t>
  </si>
  <si>
    <t>C0092</t>
  </si>
  <si>
    <t>Documento</t>
  </si>
  <si>
    <t>Email</t>
  </si>
  <si>
    <t>Telefone</t>
  </si>
  <si>
    <t>Estado</t>
  </si>
  <si>
    <t>Cidade</t>
  </si>
  <si>
    <t>Data_Nascimento</t>
  </si>
  <si>
    <t>Idade</t>
  </si>
  <si>
    <t>Renda_Mensal</t>
  </si>
  <si>
    <t>Status</t>
  </si>
  <si>
    <t>Origem_Registro</t>
  </si>
  <si>
    <t>Flag_Duplicidade</t>
  </si>
  <si>
    <t>Flag_Acuracia</t>
  </si>
  <si>
    <t>Flag_Consistencia</t>
  </si>
  <si>
    <t>C0001</t>
  </si>
  <si>
    <t>DOC-0001</t>
  </si>
  <si>
    <t>ana.oliveira1@exemplo.com</t>
  </si>
  <si>
    <t>(11) 91000001</t>
  </si>
  <si>
    <t>São Paulo</t>
  </si>
  <si>
    <t>Ativo</t>
  </si>
  <si>
    <t>Loja</t>
  </si>
  <si>
    <t>C0002</t>
  </si>
  <si>
    <t>Bruno Costa</t>
  </si>
  <si>
    <t>DOC-0002</t>
  </si>
  <si>
    <t>bruno.costa2@exemplo.com</t>
  </si>
  <si>
    <t>(11) 91000002</t>
  </si>
  <si>
    <t>Rio de Janeiro</t>
  </si>
  <si>
    <t>Indicação</t>
  </si>
  <si>
    <t>DOC-0003</t>
  </si>
  <si>
    <t>carla.nascimento3@exemplo.com</t>
  </si>
  <si>
    <t>(11) 91000003</t>
  </si>
  <si>
    <t>Belo Horizonte</t>
  </si>
  <si>
    <t>Inativo</t>
  </si>
  <si>
    <t>Campanha</t>
  </si>
  <si>
    <t>C0004</t>
  </si>
  <si>
    <t>DOC-0004</t>
  </si>
  <si>
    <t>diego.fernandes4@exemplo.com</t>
  </si>
  <si>
    <t>(11) 91000004</t>
  </si>
  <si>
    <t>Curitiba</t>
  </si>
  <si>
    <t>Prospecto</t>
  </si>
  <si>
    <t>Evento</t>
  </si>
  <si>
    <t>C0005</t>
  </si>
  <si>
    <t>Elisa Martins</t>
  </si>
  <si>
    <t>DOC-0005</t>
  </si>
  <si>
    <t>elisa.martins5@exemplo.com</t>
  </si>
  <si>
    <t>(11) 91000005</t>
  </si>
  <si>
    <t>RS</t>
  </si>
  <si>
    <t>Porto Alegre</t>
  </si>
  <si>
    <t>Site</t>
  </si>
  <si>
    <t>C0006</t>
  </si>
  <si>
    <t>Fabio Oliveira</t>
  </si>
  <si>
    <t>DOC-0006</t>
  </si>
  <si>
    <t>fabio.oliveira6@exemplo.com</t>
  </si>
  <si>
    <t>(11) 91000006</t>
  </si>
  <si>
    <t>Florianópolis</t>
  </si>
  <si>
    <t>C0007</t>
  </si>
  <si>
    <t>Gabriela Costa</t>
  </si>
  <si>
    <t>DOC-0007</t>
  </si>
  <si>
    <t>gabriela.costa7@exemplo.com</t>
  </si>
  <si>
    <t>(11) 91000007</t>
  </si>
  <si>
    <t>Salvador</t>
  </si>
  <si>
    <t>C0008</t>
  </si>
  <si>
    <t>DOC-0008</t>
  </si>
  <si>
    <t>henrique.nascimento8@exemplo.com</t>
  </si>
  <si>
    <t>(11) 91000008</t>
  </si>
  <si>
    <t>Recife</t>
  </si>
  <si>
    <t>C0009</t>
  </si>
  <si>
    <t>Isabela Fernandes</t>
  </si>
  <si>
    <t>DOC-0009</t>
  </si>
  <si>
    <t>isabela.fernandes9@exemplo.com</t>
  </si>
  <si>
    <t>(11) 91000009</t>
  </si>
  <si>
    <t>Goiânia</t>
  </si>
  <si>
    <t>DOC-0010</t>
  </si>
  <si>
    <t>joao.martins10@exemplo.com</t>
  </si>
  <si>
    <t>(11) 91000010</t>
  </si>
  <si>
    <t>C0011</t>
  </si>
  <si>
    <t>Karen Oliveira</t>
  </si>
  <si>
    <t>DOC-0011</t>
  </si>
  <si>
    <t>karen.oliveira11@exemplo.com</t>
  </si>
  <si>
    <t>(11) 91000011</t>
  </si>
  <si>
    <t>C0012</t>
  </si>
  <si>
    <t>DOC-0012</t>
  </si>
  <si>
    <t>lucas.costa12@exemplo.com</t>
  </si>
  <si>
    <t>(11) 91000012</t>
  </si>
  <si>
    <t>C0013</t>
  </si>
  <si>
    <t>Mariana Nascimento</t>
  </si>
  <si>
    <t>DOC-0013</t>
  </si>
  <si>
    <t>mariana.nascimento13@exemplo.com</t>
  </si>
  <si>
    <t>(11) 91000013</t>
  </si>
  <si>
    <t>DOC-0014</t>
  </si>
  <si>
    <t>nicolas.fernandes14@exemplo.com</t>
  </si>
  <si>
    <t>(11) 91000014</t>
  </si>
  <si>
    <t>C0015</t>
  </si>
  <si>
    <t>Olivia Martins</t>
  </si>
  <si>
    <t>DOC-0015</t>
  </si>
  <si>
    <t>olivia.martins15@exemplo.com</t>
  </si>
  <si>
    <t>(11) 91000015</t>
  </si>
  <si>
    <t>C0016</t>
  </si>
  <si>
    <t>DOC-0016</t>
  </si>
  <si>
    <t>paulo.oliveira16@exemplo.com</t>
  </si>
  <si>
    <t>(11) 91000016</t>
  </si>
  <si>
    <t>C0017</t>
  </si>
  <si>
    <t>DOC-0017</t>
  </si>
  <si>
    <t>renata.costa17@exemplo.com</t>
  </si>
  <si>
    <t>(11) 91000017</t>
  </si>
  <si>
    <t>C0018</t>
  </si>
  <si>
    <t>Samuel Nascimento</t>
  </si>
  <si>
    <t>DOC-0018</t>
  </si>
  <si>
    <t>samuel.nascimento18@exemplo.com</t>
  </si>
  <si>
    <t>(11) 91000018</t>
  </si>
  <si>
    <t>C0019</t>
  </si>
  <si>
    <t>DOC-0019</t>
  </si>
  <si>
    <t>tatiana.fernandes19@exemplo.com</t>
  </si>
  <si>
    <t>(11) 91000019</t>
  </si>
  <si>
    <t>C0020</t>
  </si>
  <si>
    <t>Vinicius Martins</t>
  </si>
  <si>
    <t>DOC-0020</t>
  </si>
  <si>
    <t>vinicius.martins20@exemplo.com</t>
  </si>
  <si>
    <t>(11) 91000020</t>
  </si>
  <si>
    <t>Fortaleza</t>
  </si>
  <si>
    <t>C0021</t>
  </si>
  <si>
    <t>DOC-0021</t>
  </si>
  <si>
    <t>ana.oliveira21@exemplo.com</t>
  </si>
  <si>
    <t>(11) 91000021</t>
  </si>
  <si>
    <t>C0022</t>
  </si>
  <si>
    <t>DOC-0022</t>
  </si>
  <si>
    <t>bruno.costa22@exemplo.com</t>
  </si>
  <si>
    <t>(11) 91000022</t>
  </si>
  <si>
    <t>DOC-0023</t>
  </si>
  <si>
    <t>carla.nascimento23@exemplo.com</t>
  </si>
  <si>
    <t>(11) 91000023</t>
  </si>
  <si>
    <t>C0024</t>
  </si>
  <si>
    <t>DOC-0024</t>
  </si>
  <si>
    <t>diego.fernandes24@exemplo.com</t>
  </si>
  <si>
    <t>(11) 91000024</t>
  </si>
  <si>
    <t>C0025</t>
  </si>
  <si>
    <t>DOC-0025</t>
  </si>
  <si>
    <t>elisa.martins25@exemplo.com</t>
  </si>
  <si>
    <t>(11) 91000025</t>
  </si>
  <si>
    <t>C0026</t>
  </si>
  <si>
    <t>DOC-0026</t>
  </si>
  <si>
    <t>fabio.oliveira26@exemplo.com</t>
  </si>
  <si>
    <t>(11) 91000026</t>
  </si>
  <si>
    <t>C0027</t>
  </si>
  <si>
    <t>DOC-0027</t>
  </si>
  <si>
    <t>gabriela.costa27@exemplo.com</t>
  </si>
  <si>
    <t>(11) 91000027</t>
  </si>
  <si>
    <t>C0028</t>
  </si>
  <si>
    <t>DOC-0028</t>
  </si>
  <si>
    <t>henrique.nascimento28@exemplo.com</t>
  </si>
  <si>
    <t>(11) 91000028</t>
  </si>
  <si>
    <t>C0029</t>
  </si>
  <si>
    <t>DOC-0029</t>
  </si>
  <si>
    <t>isabela.fernandes29@exemplo.com</t>
  </si>
  <si>
    <t>(11) 91000029</t>
  </si>
  <si>
    <t>C0030</t>
  </si>
  <si>
    <t>DOC-0030</t>
  </si>
  <si>
    <t>joao.martins30@exemplo.com</t>
  </si>
  <si>
    <t>(11) 91000030</t>
  </si>
  <si>
    <t>C0031</t>
  </si>
  <si>
    <t>DOC-0031</t>
  </si>
  <si>
    <t>karen.oliveira31@exemplo.com</t>
  </si>
  <si>
    <t>(11) 91000031</t>
  </si>
  <si>
    <t>C0032</t>
  </si>
  <si>
    <t>DOC-0032</t>
  </si>
  <si>
    <t>lucas.costa32@exemplo.com</t>
  </si>
  <si>
    <t>(11) 91000032</t>
  </si>
  <si>
    <t>C0033</t>
  </si>
  <si>
    <t>DOC-0033</t>
  </si>
  <si>
    <t>mariana.nascimento33@exemplo.com</t>
  </si>
  <si>
    <t>(11) 91000033</t>
  </si>
  <si>
    <t>C0034</t>
  </si>
  <si>
    <t>DOC-0034</t>
  </si>
  <si>
    <t>nicolas.fernandes34@exemplo.com</t>
  </si>
  <si>
    <t>(11) 91000034</t>
  </si>
  <si>
    <t>C0035</t>
  </si>
  <si>
    <t>DOC-0035</t>
  </si>
  <si>
    <t>olivia.martins35@exemplo.com</t>
  </si>
  <si>
    <t>(11) 91000035</t>
  </si>
  <si>
    <t>C0036</t>
  </si>
  <si>
    <t>DOC-0036</t>
  </si>
  <si>
    <t>paulo.oliveira36@exemplo.com</t>
  </si>
  <si>
    <t>(11) 91000036</t>
  </si>
  <si>
    <t>DOC-0037</t>
  </si>
  <si>
    <t>renata.costa37@exemplo.com</t>
  </si>
  <si>
    <t>(11) 91000037</t>
  </si>
  <si>
    <t>C0038</t>
  </si>
  <si>
    <t>DOC-0038</t>
  </si>
  <si>
    <t>samuel.nascimento38@exemplo.com</t>
  </si>
  <si>
    <t>(11) 91000038</t>
  </si>
  <si>
    <t>C0039</t>
  </si>
  <si>
    <t>DOC-0039</t>
  </si>
  <si>
    <t>tatiana.fernandes39@exemplo.com</t>
  </si>
  <si>
    <t>(11) 91000039</t>
  </si>
  <si>
    <t>C0040</t>
  </si>
  <si>
    <t>DOC-0040</t>
  </si>
  <si>
    <t>vinicius.martins40@exemplo.com</t>
  </si>
  <si>
    <t>(11) 91000040</t>
  </si>
  <si>
    <t>DOC-0041</t>
  </si>
  <si>
    <t>ana.oliveira41@exemplo.com</t>
  </si>
  <si>
    <t>(11) 91000041</t>
  </si>
  <si>
    <t>C0042</t>
  </si>
  <si>
    <t>DOC-0042</t>
  </si>
  <si>
    <t>bruno.costa42@exemplo.com</t>
  </si>
  <si>
    <t>(11) 91000042</t>
  </si>
  <si>
    <t>C0043</t>
  </si>
  <si>
    <t>DOC-0043</t>
  </si>
  <si>
    <t>carla.nascimento43@exemplo.com</t>
  </si>
  <si>
    <t>(11) 91000043</t>
  </si>
  <si>
    <t>C0044</t>
  </si>
  <si>
    <t>DOC-0044</t>
  </si>
  <si>
    <t>diego.fernandes44@exemplo.com</t>
  </si>
  <si>
    <t>(11) 91000044</t>
  </si>
  <si>
    <t>C0045</t>
  </si>
  <si>
    <t>DOC-0045</t>
  </si>
  <si>
    <t>elisa.martins45@exemplo.com</t>
  </si>
  <si>
    <t>(11) 91000045</t>
  </si>
  <si>
    <t>C0046</t>
  </si>
  <si>
    <t>DOC-0046</t>
  </si>
  <si>
    <t>fabio.oliveira46@exemplo.com</t>
  </si>
  <si>
    <t>(11) 91000046</t>
  </si>
  <si>
    <t>C0047</t>
  </si>
  <si>
    <t>DOC-0047</t>
  </si>
  <si>
    <t>gabriela.costa47@exemplo.com</t>
  </si>
  <si>
    <t>(11) 91000047</t>
  </si>
  <si>
    <t>C0048</t>
  </si>
  <si>
    <t>DOC-0048</t>
  </si>
  <si>
    <t>henrique.nascimento48@exemplo.com</t>
  </si>
  <si>
    <t>(11) 91000048</t>
  </si>
  <si>
    <t>C0049</t>
  </si>
  <si>
    <t>DOC-0049</t>
  </si>
  <si>
    <t>isabela.fernandes49@exemplo.com</t>
  </si>
  <si>
    <t>(11) 91000049</t>
  </si>
  <si>
    <t>C0050</t>
  </si>
  <si>
    <t>DOC-0050</t>
  </si>
  <si>
    <t>joao.martins50@exemplo.com</t>
  </si>
  <si>
    <t>(11) 91000050</t>
  </si>
  <si>
    <t>C0051</t>
  </si>
  <si>
    <t>DOC-0051</t>
  </si>
  <si>
    <t>karen.oliveira51@exemplo.com</t>
  </si>
  <si>
    <t>(11) 91000051</t>
  </si>
  <si>
    <t>DOC-0052</t>
  </si>
  <si>
    <t>lucas.costa52@exemplo.com</t>
  </si>
  <si>
    <t>(11) 91000052</t>
  </si>
  <si>
    <t>C0053</t>
  </si>
  <si>
    <t>DOC-0053</t>
  </si>
  <si>
    <t>mariana.nascimento53@exemplo.com</t>
  </si>
  <si>
    <t>(11) 91000053</t>
  </si>
  <si>
    <t>C0054</t>
  </si>
  <si>
    <t>DOC-0054</t>
  </si>
  <si>
    <t>nicolas.fernandes54@exemplo.com</t>
  </si>
  <si>
    <t>(11) 91000054</t>
  </si>
  <si>
    <t>C0055</t>
  </si>
  <si>
    <t>DOC-0055</t>
  </si>
  <si>
    <t>olivia.martins55@exemplo.com</t>
  </si>
  <si>
    <t>(11) 91000055</t>
  </si>
  <si>
    <t>C0056</t>
  </si>
  <si>
    <t>DOC-0056</t>
  </si>
  <si>
    <t>paulo.oliveira56@exemplo.com</t>
  </si>
  <si>
    <t>(11) 91000056</t>
  </si>
  <si>
    <t>C0057</t>
  </si>
  <si>
    <t>DOC-0057</t>
  </si>
  <si>
    <t>renata.costa57@exemplo.com</t>
  </si>
  <si>
    <t>(11) 91000057</t>
  </si>
  <si>
    <t>C0058</t>
  </si>
  <si>
    <t>DOC-0058</t>
  </si>
  <si>
    <t>samuel.nascimento58@exemplo.com</t>
  </si>
  <si>
    <t>(11) 91000058</t>
  </si>
  <si>
    <t>DOC-0059</t>
  </si>
  <si>
    <t>tatiana.fernandes59@exemplo.com</t>
  </si>
  <si>
    <t>(11) 91000059</t>
  </si>
  <si>
    <t>C0060</t>
  </si>
  <si>
    <t>DOC-0060</t>
  </si>
  <si>
    <t>vinicius.martins60@exemplo.com</t>
  </si>
  <si>
    <t>(11) 91000060</t>
  </si>
  <si>
    <t>C0061</t>
  </si>
  <si>
    <t>DOC-0061</t>
  </si>
  <si>
    <t>ana.oliveira61@exemplo.com</t>
  </si>
  <si>
    <t>(11) 91000061</t>
  </si>
  <si>
    <t>C0062</t>
  </si>
  <si>
    <t>DOC-0062</t>
  </si>
  <si>
    <t>bruno.costa62@exemplo.com</t>
  </si>
  <si>
    <t>(11) 91000062</t>
  </si>
  <si>
    <t>C0063</t>
  </si>
  <si>
    <t>DOC-0063</t>
  </si>
  <si>
    <t>carla.nascimento63@exemplo.com</t>
  </si>
  <si>
    <t>(11) 91000063</t>
  </si>
  <si>
    <t>C0064</t>
  </si>
  <si>
    <t>DOC-0064</t>
  </si>
  <si>
    <t>diego.fernandes64@exemplo.com</t>
  </si>
  <si>
    <t>(11) 91000064</t>
  </si>
  <si>
    <t>C0065</t>
  </si>
  <si>
    <t>DOC-0065</t>
  </si>
  <si>
    <t>elisa.martins65@exemplo.com</t>
  </si>
  <si>
    <t>(11) 91000065</t>
  </si>
  <si>
    <t>C0066</t>
  </si>
  <si>
    <t>DOC-0066</t>
  </si>
  <si>
    <t>fabio.oliveira66@exemplo.com</t>
  </si>
  <si>
    <t>(11) 91000066</t>
  </si>
  <si>
    <t>C0067</t>
  </si>
  <si>
    <t>DOC-0067</t>
  </si>
  <si>
    <t>gabriela.costa67@exemplo.com</t>
  </si>
  <si>
    <t>(11) 91000067</t>
  </si>
  <si>
    <t>DOC-0068</t>
  </si>
  <si>
    <t>henrique.nascimento68@exemplo.com</t>
  </si>
  <si>
    <t>(11) 91000068</t>
  </si>
  <si>
    <t>C0069</t>
  </si>
  <si>
    <t>DOC-0069</t>
  </si>
  <si>
    <t>isabela.fernandes69@exemplo.com</t>
  </si>
  <si>
    <t>(11) 91000069</t>
  </si>
  <si>
    <t>C0070</t>
  </si>
  <si>
    <t>DOC-0070</t>
  </si>
  <si>
    <t>joao.martins70@exemplo.com</t>
  </si>
  <si>
    <t>(11) 91000070</t>
  </si>
  <si>
    <t>C0071</t>
  </si>
  <si>
    <t>DOC-0071</t>
  </si>
  <si>
    <t>karen.oliveira71@exemplo.com</t>
  </si>
  <si>
    <t>(11) 91000071</t>
  </si>
  <si>
    <t>C0072</t>
  </si>
  <si>
    <t>DOC-0072</t>
  </si>
  <si>
    <t>lucas.costa72@exemplo.com</t>
  </si>
  <si>
    <t>(11) 91000072</t>
  </si>
  <si>
    <t>C0073</t>
  </si>
  <si>
    <t>DOC-0073</t>
  </si>
  <si>
    <t>mariana.nascimento73@exemplo.com</t>
  </si>
  <si>
    <t>(11) 91000073</t>
  </si>
  <si>
    <t>C0074</t>
  </si>
  <si>
    <t>DOC-0074</t>
  </si>
  <si>
    <t>nicolas.fernandes74@exemplo.com</t>
  </si>
  <si>
    <t>(11) 91000074</t>
  </si>
  <si>
    <t>C0075</t>
  </si>
  <si>
    <t>DOC-0075</t>
  </si>
  <si>
    <t>olivia.martins75@exemplo.com</t>
  </si>
  <si>
    <t>(11) 91000075</t>
  </si>
  <si>
    <t>DOC-0076</t>
  </si>
  <si>
    <t>paulo.oliveira76@exemplo.com</t>
  </si>
  <si>
    <t>(11) 91000076</t>
  </si>
  <si>
    <t>C0077</t>
  </si>
  <si>
    <t>DOC-0077</t>
  </si>
  <si>
    <t>renata.costa77@exemplo.com</t>
  </si>
  <si>
    <t>(11) 91000077</t>
  </si>
  <si>
    <t>C0078</t>
  </si>
  <si>
    <t>DOC-0078</t>
  </si>
  <si>
    <t>samuel.nascimento78@exemplo.com</t>
  </si>
  <si>
    <t>(11) 91000078</t>
  </si>
  <si>
    <t>C0079</t>
  </si>
  <si>
    <t>DOC-0079</t>
  </si>
  <si>
    <t>tatiana.fernandes79@exemplo.com</t>
  </si>
  <si>
    <t>(11) 91000079</t>
  </si>
  <si>
    <t>C0080</t>
  </si>
  <si>
    <t>DOC-0080</t>
  </si>
  <si>
    <t>vinicius.martins80@exemplo.com</t>
  </si>
  <si>
    <t>(11) 91000080</t>
  </si>
  <si>
    <t>C0081</t>
  </si>
  <si>
    <t>DOC-0081</t>
  </si>
  <si>
    <t>ana.oliveira81@exemplo.com</t>
  </si>
  <si>
    <t>(11) 91000081</t>
  </si>
  <si>
    <t>C0082</t>
  </si>
  <si>
    <t>DOC-0082</t>
  </si>
  <si>
    <t>bruno.costa82@exemplo.com</t>
  </si>
  <si>
    <t>(11) 91000082</t>
  </si>
  <si>
    <t>C0083</t>
  </si>
  <si>
    <t>DOC-0083</t>
  </si>
  <si>
    <t>carla.nascimento83@exemplo.com</t>
  </si>
  <si>
    <t>(11) 91000083</t>
  </si>
  <si>
    <t>DOC-0084</t>
  </si>
  <si>
    <t>diego.fernandes84@exemplo.com</t>
  </si>
  <si>
    <t>(11) 91000084</t>
  </si>
  <si>
    <t>C0085</t>
  </si>
  <si>
    <t>DOC-0085</t>
  </si>
  <si>
    <t>elisa.martins85@exemplo.com</t>
  </si>
  <si>
    <t>(11) 91000085</t>
  </si>
  <si>
    <t>C0086</t>
  </si>
  <si>
    <t>DOC-0086</t>
  </si>
  <si>
    <t>fabio.oliveira86@exemplo.com</t>
  </si>
  <si>
    <t>(11) 91000086</t>
  </si>
  <si>
    <t>C0087</t>
  </si>
  <si>
    <t>DOC-0087</t>
  </si>
  <si>
    <t>gabriela.costa87@exemplo.com</t>
  </si>
  <si>
    <t>(11) 91000087</t>
  </si>
  <si>
    <t>C0088</t>
  </si>
  <si>
    <t>DOC-0088</t>
  </si>
  <si>
    <t>henrique.nascimento88@exemplo.com</t>
  </si>
  <si>
    <t>(11) 91000088</t>
  </si>
  <si>
    <t>C0089</t>
  </si>
  <si>
    <t>DOC-0089</t>
  </si>
  <si>
    <t>isabela.fernandes89@exemplo.com</t>
  </si>
  <si>
    <t>(11) 91000089</t>
  </si>
  <si>
    <t>C0090</t>
  </si>
  <si>
    <t>DOC-0090</t>
  </si>
  <si>
    <t>joao.martins90@exemplo.com</t>
  </si>
  <si>
    <t>(11) 91000090</t>
  </si>
  <si>
    <t>C0091</t>
  </si>
  <si>
    <t>DOC-0091</t>
  </si>
  <si>
    <t>karen.oliveira91@exemplo.com</t>
  </si>
  <si>
    <t>(11) 91000091</t>
  </si>
  <si>
    <t>DOC-0092</t>
  </si>
  <si>
    <t>lucas.costa92@exemplo.com</t>
  </si>
  <si>
    <t>(11) 91000092</t>
  </si>
  <si>
    <t>C0093</t>
  </si>
  <si>
    <t>DOC-0093</t>
  </si>
  <si>
    <t>mariana.nascimento93@exemplo.com</t>
  </si>
  <si>
    <t>(11) 91000093</t>
  </si>
  <si>
    <t>C0094</t>
  </si>
  <si>
    <t>DOC-0094</t>
  </si>
  <si>
    <t>nicolas.fernandes94@exemplo.com</t>
  </si>
  <si>
    <t>(11) 91000094</t>
  </si>
  <si>
    <t>C0095</t>
  </si>
  <si>
    <t>DOC-0095</t>
  </si>
  <si>
    <t>olivia.martins95@exemplo.com</t>
  </si>
  <si>
    <t>(11) 91000095</t>
  </si>
  <si>
    <t>C0096</t>
  </si>
  <si>
    <t>DOC-0096</t>
  </si>
  <si>
    <t>paulo.oliveira96@exemplo.com</t>
  </si>
  <si>
    <t>(11) 91000096</t>
  </si>
  <si>
    <t>C0097</t>
  </si>
  <si>
    <t>DOC-0097</t>
  </si>
  <si>
    <t>renata.costa97@exemplo.com</t>
  </si>
  <si>
    <t>(11) 91000097</t>
  </si>
  <si>
    <t>C0098</t>
  </si>
  <si>
    <t>DOC-0098</t>
  </si>
  <si>
    <t>samuel.nascimento98@exemplo.com</t>
  </si>
  <si>
    <t>(11) 91000098</t>
  </si>
  <si>
    <t>C0099</t>
  </si>
  <si>
    <t>DOC-0099</t>
  </si>
  <si>
    <t>tatiana.fernandes99@exemplo.com</t>
  </si>
  <si>
    <t>(11) 91000099</t>
  </si>
  <si>
    <t>C0100</t>
  </si>
  <si>
    <t>DOC-0100</t>
  </si>
  <si>
    <t>vinicius.martins100@exemplo.com</t>
  </si>
  <si>
    <t>(11) 91000100</t>
  </si>
  <si>
    <t>Clientes únicos</t>
  </si>
  <si>
    <t>Duplicidades extras</t>
  </si>
  <si>
    <t>Divergências de acurácia</t>
  </si>
  <si>
    <t>Inconsistências</t>
  </si>
  <si>
    <t>Registros verificados</t>
  </si>
  <si>
    <t>Linhas marcadas duplicadas</t>
  </si>
  <si>
    <t>Data de corte</t>
  </si>
  <si>
    <t>LEITURA RÁPIDA</t>
  </si>
  <si>
    <t>A base contém 100 clientes únicos e cinco registros copiados, totalizando 105 linhas. Seis clientes têm Estado divergente em relação à Fonte de Referência. Cinco clientes apresentam incompatibilidade entre idade informada e data de nascimento. As colunas de diagnóstico permitem filtrar cada problema antes da exploração no Orange.</t>
  </si>
  <si>
    <t>CONTEÚDO</t>
  </si>
  <si>
    <t>Base Clientes</t>
  </si>
  <si>
    <t>105 registros, incluindo cinco cópias e três flags calculadas.</t>
  </si>
  <si>
    <t>Fonte Referência</t>
  </si>
  <si>
    <t>12 registros considerados corretos para validar o Estado.</t>
  </si>
  <si>
    <t>Respostas</t>
  </si>
  <si>
    <t>Conceitos solicitados e roteiro de investigação no Orange.</t>
  </si>
  <si>
    <t>RESPOSTAS</t>
  </si>
  <si>
    <t>a) Um valor pode ser válido e ainda assim estar errado?</t>
  </si>
  <si>
    <t>Sim. Por exemplo, “SP” é um Estado válido, mas está errado para um cliente cuja fonte correta informa “RJ”. O formato e o domínio são válidos, porém o valor não representa a realidade.</t>
  </si>
  <si>
    <t>b) O que é uma duplicidade?</t>
  </si>
  <si>
    <t>É a repetição indevida do mesmo registro ou da mesma entidade na base. Pode ser uma cópia exata ou uma repetição com pequenas diferenças em campos secundários.</t>
  </si>
  <si>
    <t>c) O que significa dizer que dois dados são inconsistentes?</t>
  </si>
  <si>
    <t>Significa que os valores não podem ser verdadeiros ao mesmo tempo segundo uma regra lógica. Exemplo: idade de 20 anos com data de nascimento em 1980 na data de corte de 2026.</t>
  </si>
  <si>
    <t>d) Diferença entre validade e acurácia</t>
  </si>
  <si>
    <t>Validade verifica se o dado respeita formato, tipo, faixa ou domínio permitido. Acurácia verifica se o dado corresponde ao fato real ou a uma fonte confiável.</t>
  </si>
  <si>
    <t>ROTEIRO NO ORANGE</t>
  </si>
  <si>
    <t>Exporte a planilha Base Clientes como CSV UTF-8 ou abra o arquivo Excel pelo widget File.</t>
  </si>
  <si>
    <t>Use Data Table e Feature Statistics para revisar tipos, distribuições e valores incomuns.</t>
  </si>
  <si>
    <t>Filtre Flag_Duplicidade = Duplicado e compare Cliente_ID e Documento.</t>
  </si>
  <si>
    <t>Filtre Flag_Acuracia = Divergente e confronte o Estado com a Fonte Referência.</t>
  </si>
  <si>
    <t>Filtre Flag_Consistencia = Inconsistente e compare Idade com Data_Nascimento.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</si>
</sst>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&quot;R$&quot;\ #,##0.00"/>
  </numFmts>
  <fonts count="9" x14ac:knownFonts="1">
    <font>
      <sz val="11"/>
      <color theme="1"/>
      <name val="Aptos Narrow"/>
      <family val="2"/>
      <scheme val="minor"/>
    </font>
    <font>
      <b/>
      <sz val="18"/>
      <color rgb="FFFFFFFF"/>
      <name val="Aptos"/>
      <family val="2"/>
    </font>
    <font>
      <i/>
      <sz val="10"/>
      <color rgb="FF666666"/>
      <name val="Aptos"/>
      <family val="2"/>
    </font>
    <font>
      <sz val="11"/>
      <color theme="1"/>
      <name val="Aptos"/>
      <family val="2"/>
    </font>
    <font>
      <b/>
      <sz val="11"/>
      <color rgb="FFFFFFFF"/>
      <name val="Aptos"/>
      <family val="2"/>
    </font>
    <font>
      <b/>
      <sz val="11"/>
      <color theme="1"/>
      <name val="Aptos"/>
      <family val="2"/>
    </font>
    <font>
      <b/>
      <sz val="11"/>
      <color rgb="FF17365D"/>
      <name val="Aptos"/>
      <family val="2"/>
    </font>
    <font>
      <b/>
      <sz val="18"/>
      <color rgb="FF2F75B5"/>
      <name val="Aptos"/>
      <family val="2"/>
    </font>
    <font>
      <b/>
      <sz val="11"/>
      <color rgb="FF2F75B5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/>
    <xf numFmtId="14" fontId="3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3" fillId="5" borderId="0" xfId="0" applyFont="1" applyFill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6" borderId="0" xfId="0" applyFont="1" applyFill="1"/>
  </cellXfs>
  <cellStyles count="1">
    <cellStyle name="Normal" xfId="0" builtinId="0"/>
  </cellStyles>
  <dxfs count="23">
    <dxf>
      <font>
        <name val="Aptos"/>
      </font>
      <alignment wrapText="1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164" formatCode="\R&quot;R$&quot;\ #,##0.00"/>
    </dxf>
    <dxf>
      <font>
        <name val="Aptos"/>
      </font>
      <numFmt numFmtId="1" formatCode="0"/>
    </dxf>
    <dxf>
      <font>
        <name val="Aptos"/>
      </font>
      <numFmt numFmtId="19" formatCode="dd/mm/yyyy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54AB51-A9F1-4A67-97E1-884CA881DFE6}" name="tbClientes" displayName="tbClientes" ref="A1:O106" totalsRowShown="0" headerRowDxfId="7" dataDxfId="6">
  <autoFilter ref="A1:O106" xr:uid="{2454AB51-A9F1-4A67-97E1-884CA881DFE6}"/>
  <tableColumns count="15">
    <tableColumn id="1" xr3:uid="{3EC8658A-FB0B-4759-AF36-4404CB2AF65A}" name="Cliente_ID" dataDxfId="22"/>
    <tableColumn id="2" xr3:uid="{568F8EF1-7866-4BFF-A930-255FF8329F4C}" name="Nome_Completo" dataDxfId="21"/>
    <tableColumn id="3" xr3:uid="{C3A014C4-A108-4505-88EE-9FA22E915D98}" name="Documento" dataDxfId="20"/>
    <tableColumn id="4" xr3:uid="{0B141D1E-5FFF-4631-93E3-245340707DBD}" name="Email" dataDxfId="19"/>
    <tableColumn id="5" xr3:uid="{BF6BD26A-78EF-4BAF-9CC6-F8C65FE76B2F}" name="Telefone" dataDxfId="18"/>
    <tableColumn id="6" xr3:uid="{3A0B2616-F5B0-47DB-B811-4EF3E7476430}" name="Estado" dataDxfId="17"/>
    <tableColumn id="7" xr3:uid="{463378EF-3CF1-4CA9-A301-6B05AD9C534F}" name="Cidade" dataDxfId="16"/>
    <tableColumn id="8" xr3:uid="{D22111A3-D1E4-4862-9BF0-C93797C8ED0B}" name="Data_Nascimento" dataDxfId="15"/>
    <tableColumn id="9" xr3:uid="{25FDCAA7-B5CF-4E98-A578-896423BB2852}" name="Idade" dataDxfId="14"/>
    <tableColumn id="10" xr3:uid="{E3D35522-11EC-4FD6-9631-91D9BFDB7005}" name="Renda_Mensal" dataDxfId="13"/>
    <tableColumn id="11" xr3:uid="{218964E0-9597-4E86-8025-9C335B55366C}" name="Status" dataDxfId="12"/>
    <tableColumn id="12" xr3:uid="{433CF96D-9223-42D0-80D8-0C07C0561801}" name="Origem_Registro" dataDxfId="11"/>
    <tableColumn id="13" xr3:uid="{1CA0C092-CCE3-43F9-874E-B65912BC0FDA}" name="Flag_Duplicidade" dataDxfId="10">
      <calculatedColumnFormula>IF(COUNTIF($C$2:$C$106,$C2)&gt;1,"Duplicado","Único")</calculatedColumnFormula>
    </tableColumn>
    <tableColumn id="14" xr3:uid="{FD4CE996-D2F4-4C3B-BD3C-AD70DEFC1FAB}" name="Flag_Acuracia" dataDxfId="9">
      <calculatedColumnFormula>IFERROR(IF($F2=_xlfn.XLOOKUP($A2,'Fonte Referência'!$A$2:$A$13,'Fonte Referência'!$C$2:$C$13),"OK","Divergente"),"Não verificado")</calculatedColumnFormula>
    </tableColumn>
    <tableColumn id="15" xr3:uid="{5839569C-3840-4FAD-B99E-5C001F7B3445}" name="Flag_Consistencia" dataDxfId="8">
      <calculatedColumnFormula>IF(ABS($I2-DATEDIF($H2,DATE(2026,8,25),"Y"))&gt;1,"Inconsistente","OK")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DB5028-8060-4E76-B289-4B013FD992D6}" name="tbReferencia" displayName="tbReferencia" ref="A1:D13" totalsRowShown="0" headerRowDxfId="2" dataDxfId="1">
  <autoFilter ref="A1:D13" xr:uid="{1BDB5028-8060-4E76-B289-4B013FD992D6}"/>
  <tableColumns count="4">
    <tableColumn id="1" xr3:uid="{4772509B-CB39-457D-B138-CB3D210D01C1}" name="Cliente_ID" dataDxfId="5"/>
    <tableColumn id="2" xr3:uid="{25BE7250-AC7F-436A-BDA9-D1D8D9FCA53A}" name="Nome_Completo" dataDxfId="4"/>
    <tableColumn id="3" xr3:uid="{CB2FA0FB-054D-4A28-947B-6096AD0AD05C}" name="Estado_Correto" dataDxfId="3"/>
    <tableColumn id="4" xr3:uid="{BAD78904-FFB7-4FCB-A40F-0C89FE157B3A}" name="Observaca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5DC5-C8B7-4650-9139-422E1F8AA7F6}">
  <dimension ref="A1:H19"/>
  <sheetViews>
    <sheetView tabSelected="1" workbookViewId="0">
      <selection activeCell="G9" sqref="G9:H9"/>
    </sheetView>
  </sheetViews>
  <sheetFormatPr defaultRowHeight="14.4" x14ac:dyDescent="0.3"/>
  <cols>
    <col min="1" max="8" width="14.77734375" customWidth="1"/>
  </cols>
  <sheetData>
    <row r="1" spans="1:8" ht="23.4" x14ac:dyDescent="0.4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4" t="s">
        <v>2</v>
      </c>
      <c r="B4" s="4"/>
      <c r="C4" s="4"/>
      <c r="D4" s="4"/>
      <c r="E4" s="4"/>
      <c r="F4" s="4"/>
      <c r="G4" s="4"/>
      <c r="H4" s="4"/>
    </row>
    <row r="5" spans="1:8" x14ac:dyDescent="0.3">
      <c r="A5" s="9" t="s">
        <v>3</v>
      </c>
      <c r="B5" s="9"/>
      <c r="C5" s="9" t="s">
        <v>471</v>
      </c>
      <c r="D5" s="9"/>
      <c r="E5" s="9" t="s">
        <v>472</v>
      </c>
      <c r="F5" s="9"/>
      <c r="G5" s="10" t="s">
        <v>473</v>
      </c>
      <c r="H5" s="10"/>
    </row>
    <row r="6" spans="1:8" ht="23.4" x14ac:dyDescent="0.45">
      <c r="A6" s="11">
        <f>ROWS(tbClientes[Cliente_ID])</f>
        <v>105</v>
      </c>
      <c r="B6" s="11"/>
      <c r="C6" s="11" cm="1">
        <f t="array" ref="C6">SUMPRODUCT(1/COUNTIF(tbClientes[Documento],tbClientes[Documento]))</f>
        <v>100</v>
      </c>
      <c r="D6" s="11"/>
      <c r="E6" s="11">
        <f>B6-D6</f>
        <v>0</v>
      </c>
      <c r="F6" s="11"/>
      <c r="G6" s="11">
        <f>COUNTIF(tbClientes[Flag_Acuracia],"Divergente")</f>
        <v>6</v>
      </c>
      <c r="H6" s="11"/>
    </row>
    <row r="7" spans="1:8" x14ac:dyDescent="0.3">
      <c r="A7" s="8"/>
      <c r="B7" s="8"/>
      <c r="C7" s="8"/>
      <c r="D7" s="8"/>
      <c r="E7" s="8"/>
      <c r="F7" s="8"/>
      <c r="G7" s="8"/>
      <c r="H7" s="8"/>
    </row>
    <row r="8" spans="1:8" x14ac:dyDescent="0.3">
      <c r="A8" s="9" t="s">
        <v>474</v>
      </c>
      <c r="B8" s="9"/>
      <c r="C8" s="9" t="s">
        <v>475</v>
      </c>
      <c r="D8" s="9"/>
      <c r="E8" s="9" t="s">
        <v>476</v>
      </c>
      <c r="F8" s="9"/>
      <c r="G8" s="10" t="s">
        <v>477</v>
      </c>
      <c r="H8" s="10"/>
    </row>
    <row r="9" spans="1:8" ht="23.4" x14ac:dyDescent="0.45">
      <c r="A9" s="11">
        <f>COUNTIF(tbClientes[Flag_Consistencia],"Inconsistente")</f>
        <v>5</v>
      </c>
      <c r="B9" s="11"/>
      <c r="C9" s="11">
        <f>COUNTIF(tbClientes[Flag_Acuracia],"&lt;&gt;Não verificado")</f>
        <v>12</v>
      </c>
      <c r="D9" s="11"/>
      <c r="E9" s="11">
        <f>COUNTIF(tbClientes[Flag_Duplicidade],"Duplicado")</f>
        <v>10</v>
      </c>
      <c r="F9" s="11"/>
      <c r="G9" s="12">
        <v>46259</v>
      </c>
      <c r="H9" s="11"/>
    </row>
    <row r="10" spans="1:8" x14ac:dyDescent="0.3">
      <c r="A10" s="3"/>
      <c r="B10" s="3"/>
      <c r="C10" s="3"/>
      <c r="D10" s="3"/>
      <c r="E10" s="3"/>
      <c r="F10" s="3"/>
      <c r="G10" s="3"/>
      <c r="H10" s="3"/>
    </row>
    <row r="11" spans="1:8" x14ac:dyDescent="0.3">
      <c r="A11" s="4" t="s">
        <v>478</v>
      </c>
      <c r="B11" s="4"/>
      <c r="C11" s="4"/>
      <c r="D11" s="4"/>
      <c r="E11" s="4"/>
      <c r="F11" s="4"/>
      <c r="G11" s="4"/>
      <c r="H11" s="4"/>
    </row>
    <row r="12" spans="1:8" x14ac:dyDescent="0.3">
      <c r="A12" s="14" t="s">
        <v>479</v>
      </c>
      <c r="B12" s="14"/>
      <c r="C12" s="14"/>
      <c r="D12" s="14"/>
      <c r="E12" s="14"/>
      <c r="F12" s="14"/>
      <c r="G12" s="14"/>
      <c r="H12" s="14"/>
    </row>
    <row r="13" spans="1:8" x14ac:dyDescent="0.3">
      <c r="A13" s="14"/>
      <c r="B13" s="14"/>
      <c r="C13" s="14"/>
      <c r="D13" s="14"/>
      <c r="E13" s="14"/>
      <c r="F13" s="14"/>
      <c r="G13" s="14"/>
      <c r="H13" s="14"/>
    </row>
    <row r="14" spans="1:8" x14ac:dyDescent="0.3">
      <c r="A14" s="14"/>
      <c r="B14" s="14"/>
      <c r="C14" s="14"/>
      <c r="D14" s="14"/>
      <c r="E14" s="14"/>
      <c r="F14" s="14"/>
      <c r="G14" s="14"/>
      <c r="H14" s="14"/>
    </row>
    <row r="15" spans="1:8" x14ac:dyDescent="0.3">
      <c r="A15" s="3"/>
      <c r="B15" s="3"/>
      <c r="C15" s="3"/>
      <c r="D15" s="3"/>
      <c r="E15" s="3"/>
      <c r="F15" s="3"/>
      <c r="G15" s="3"/>
      <c r="H15" s="3"/>
    </row>
    <row r="16" spans="1:8" x14ac:dyDescent="0.3">
      <c r="A16" s="4" t="s">
        <v>480</v>
      </c>
      <c r="B16" s="4"/>
      <c r="C16" s="4"/>
      <c r="D16" s="4"/>
      <c r="E16" s="4"/>
      <c r="F16" s="4"/>
      <c r="G16" s="4"/>
      <c r="H16" s="4"/>
    </row>
    <row r="17" spans="1:8" x14ac:dyDescent="0.3">
      <c r="A17" s="15" t="s">
        <v>481</v>
      </c>
      <c r="B17" s="15"/>
      <c r="C17" s="13" t="s">
        <v>482</v>
      </c>
      <c r="D17" s="13"/>
      <c r="E17" s="13"/>
      <c r="F17" s="13"/>
      <c r="G17" s="13"/>
      <c r="H17" s="13"/>
    </row>
    <row r="18" spans="1:8" x14ac:dyDescent="0.3">
      <c r="A18" s="15" t="s">
        <v>483</v>
      </c>
      <c r="B18" s="15"/>
      <c r="C18" s="13" t="s">
        <v>484</v>
      </c>
      <c r="D18" s="13"/>
      <c r="E18" s="13"/>
      <c r="F18" s="13"/>
      <c r="G18" s="13"/>
      <c r="H18" s="13"/>
    </row>
    <row r="19" spans="1:8" x14ac:dyDescent="0.3">
      <c r="A19" s="15" t="s">
        <v>485</v>
      </c>
      <c r="B19" s="15"/>
      <c r="C19" s="13" t="s">
        <v>486</v>
      </c>
      <c r="D19" s="13"/>
      <c r="E19" s="13"/>
      <c r="F19" s="13"/>
      <c r="G19" s="13"/>
      <c r="H19" s="13"/>
    </row>
  </sheetData>
  <mergeCells count="28">
    <mergeCell ref="A19:B19"/>
    <mergeCell ref="C19:H19"/>
    <mergeCell ref="A11:H11"/>
    <mergeCell ref="A12:H14"/>
    <mergeCell ref="A16:H16"/>
    <mergeCell ref="A17:B17"/>
    <mergeCell ref="C17:H17"/>
    <mergeCell ref="A18:B18"/>
    <mergeCell ref="C18:H18"/>
    <mergeCell ref="G6:H6"/>
    <mergeCell ref="A8:B8"/>
    <mergeCell ref="A9:B9"/>
    <mergeCell ref="C8:D8"/>
    <mergeCell ref="C9:D9"/>
    <mergeCell ref="E8:F8"/>
    <mergeCell ref="E9:F9"/>
    <mergeCell ref="G8:H8"/>
    <mergeCell ref="G9:H9"/>
    <mergeCell ref="A1:H1"/>
    <mergeCell ref="A2:H2"/>
    <mergeCell ref="A4:H4"/>
    <mergeCell ref="A5:B5"/>
    <mergeCell ref="A6:B6"/>
    <mergeCell ref="C5:D5"/>
    <mergeCell ref="C6:D6"/>
    <mergeCell ref="E5:F5"/>
    <mergeCell ref="E6:F6"/>
    <mergeCell ref="G5:H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7A14F-650D-4202-BB5B-C738A355E709}">
  <dimension ref="A1:O106"/>
  <sheetViews>
    <sheetView workbookViewId="0">
      <selection activeCell="A4" sqref="A1:XFD4"/>
    </sheetView>
  </sheetViews>
  <sheetFormatPr defaultRowHeight="14.4" x14ac:dyDescent="0.3"/>
  <cols>
    <col min="1" max="1" width="13.33203125" customWidth="1"/>
    <col min="2" max="2" width="20.33203125" customWidth="1"/>
    <col min="3" max="3" width="15.21875" customWidth="1"/>
    <col min="4" max="4" width="28.6640625" customWidth="1"/>
    <col min="5" max="5" width="18.5546875" customWidth="1"/>
    <col min="6" max="6" width="9.6640625" customWidth="1"/>
    <col min="7" max="7" width="19.44140625" customWidth="1"/>
    <col min="8" max="8" width="17" customWidth="1"/>
    <col min="9" max="9" width="8.88671875" customWidth="1"/>
    <col min="10" max="10" width="16.33203125" customWidth="1"/>
    <col min="11" max="12" width="15.21875" customWidth="1"/>
    <col min="13" max="15" width="19.44140625" customWidth="1"/>
  </cols>
  <sheetData>
    <row r="1" spans="1:15" x14ac:dyDescent="0.3">
      <c r="A1" s="3" t="s">
        <v>4</v>
      </c>
      <c r="B1" s="3" t="s">
        <v>5</v>
      </c>
      <c r="C1" s="3" t="s">
        <v>41</v>
      </c>
      <c r="D1" s="3" t="s">
        <v>42</v>
      </c>
      <c r="E1" s="3" t="s">
        <v>43</v>
      </c>
      <c r="F1" s="3" t="s">
        <v>44</v>
      </c>
      <c r="G1" s="3" t="s">
        <v>45</v>
      </c>
      <c r="H1" s="3" t="s">
        <v>46</v>
      </c>
      <c r="I1" s="3" t="s">
        <v>47</v>
      </c>
      <c r="J1" s="3" t="s">
        <v>48</v>
      </c>
      <c r="K1" s="3" t="s">
        <v>49</v>
      </c>
      <c r="L1" s="3" t="s">
        <v>50</v>
      </c>
      <c r="M1" s="3" t="s">
        <v>51</v>
      </c>
      <c r="N1" s="3" t="s">
        <v>52</v>
      </c>
      <c r="O1" s="3" t="s">
        <v>53</v>
      </c>
    </row>
    <row r="2" spans="1:15" x14ac:dyDescent="0.3">
      <c r="A2" s="3" t="s">
        <v>54</v>
      </c>
      <c r="B2" s="3" t="s">
        <v>32</v>
      </c>
      <c r="C2" s="3" t="s">
        <v>55</v>
      </c>
      <c r="D2" s="3" t="s">
        <v>56</v>
      </c>
      <c r="E2" s="3" t="s">
        <v>57</v>
      </c>
      <c r="F2" s="3" t="s">
        <v>33</v>
      </c>
      <c r="G2" s="3" t="s">
        <v>58</v>
      </c>
      <c r="H2" s="5">
        <v>23897</v>
      </c>
      <c r="I2" s="6">
        <v>61</v>
      </c>
      <c r="J2" s="7">
        <v>1937</v>
      </c>
      <c r="K2" s="3" t="s">
        <v>59</v>
      </c>
      <c r="L2" s="3" t="s">
        <v>60</v>
      </c>
      <c r="M2" s="3" t="str">
        <f>IF(COUNTIF($C$2:$C$106,$C2)&gt;1,"Duplicado","Único")</f>
        <v>Único</v>
      </c>
      <c r="N2" s="3" t="str">
        <f>IFERROR(IF($F2=_xlfn.XLOOKUP($A2,'Fonte Referência'!$A$2:$A$13,'Fonte Referência'!$C$2:$C$13),"OK","Divergente"),"Não verificado")</f>
        <v>Não verificado</v>
      </c>
      <c r="O2" s="3" t="str">
        <f>IF(ABS($I2-DATEDIF($H2,DATE(2026,8,25),"Y"))&gt;1,"Inconsistente","OK")</f>
        <v>OK</v>
      </c>
    </row>
    <row r="3" spans="1:15" x14ac:dyDescent="0.3">
      <c r="A3" s="3" t="s">
        <v>61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20</v>
      </c>
      <c r="G3" s="3" t="s">
        <v>66</v>
      </c>
      <c r="H3" s="5">
        <v>26396</v>
      </c>
      <c r="I3" s="6">
        <v>54</v>
      </c>
      <c r="J3" s="7">
        <v>2074</v>
      </c>
      <c r="K3" s="3" t="s">
        <v>59</v>
      </c>
      <c r="L3" s="3" t="s">
        <v>67</v>
      </c>
      <c r="M3" s="3" t="str">
        <f>IF(COUNTIF($C$2:$C$106,$C3)&gt;1,"Duplicado","Único")</f>
        <v>Único</v>
      </c>
      <c r="N3" s="3" t="str">
        <f>IFERROR(IF($F3=_xlfn.XLOOKUP($A3,'Fonte Referência'!$A$2:$A$13,'Fonte Referência'!$C$2:$C$13),"OK","Divergente"),"Não verificado")</f>
        <v>Não verificado</v>
      </c>
      <c r="O3" s="3" t="str">
        <f>IF(ABS($I3-DATEDIF($H3,DATE(2026,8,25),"Y"))&gt;1,"Inconsistente","OK")</f>
        <v>OK</v>
      </c>
    </row>
    <row r="4" spans="1:15" x14ac:dyDescent="0.3">
      <c r="A4" s="3" t="s">
        <v>27</v>
      </c>
      <c r="B4" s="3" t="s">
        <v>13</v>
      </c>
      <c r="C4" s="3" t="s">
        <v>68</v>
      </c>
      <c r="D4" s="3" t="s">
        <v>69</v>
      </c>
      <c r="E4" s="3" t="s">
        <v>70</v>
      </c>
      <c r="F4" s="3" t="s">
        <v>14</v>
      </c>
      <c r="G4" s="3" t="s">
        <v>71</v>
      </c>
      <c r="H4" s="5">
        <v>28896</v>
      </c>
      <c r="I4" s="6">
        <v>47</v>
      </c>
      <c r="J4" s="7">
        <v>2211</v>
      </c>
      <c r="K4" s="3" t="s">
        <v>72</v>
      </c>
      <c r="L4" s="3" t="s">
        <v>73</v>
      </c>
      <c r="M4" s="3" t="str">
        <f>IF(COUNTIF($C$2:$C$106,$C4)&gt;1,"Duplicado","Único")</f>
        <v>Único</v>
      </c>
      <c r="N4" s="3" t="str">
        <f>IFERROR(IF($F4=_xlfn.XLOOKUP($A4,'Fonte Referência'!$A$2:$A$13,'Fonte Referência'!$C$2:$C$13),"OK","Divergente"),"Não verificado")</f>
        <v>OK</v>
      </c>
      <c r="O4" s="3" t="str">
        <f>IF(ABS($I4-DATEDIF($H4,DATE(2026,8,25),"Y"))&gt;1,"Inconsistente","OK")</f>
        <v>OK</v>
      </c>
    </row>
    <row r="5" spans="1:15" x14ac:dyDescent="0.3">
      <c r="A5" s="3" t="s">
        <v>74</v>
      </c>
      <c r="B5" s="3" t="s">
        <v>25</v>
      </c>
      <c r="C5" s="3" t="s">
        <v>75</v>
      </c>
      <c r="D5" s="3" t="s">
        <v>76</v>
      </c>
      <c r="E5" s="3" t="s">
        <v>77</v>
      </c>
      <c r="F5" s="3" t="s">
        <v>26</v>
      </c>
      <c r="G5" s="3" t="s">
        <v>78</v>
      </c>
      <c r="H5" s="5">
        <v>31606</v>
      </c>
      <c r="I5" s="6">
        <v>40</v>
      </c>
      <c r="J5" s="7">
        <v>2348</v>
      </c>
      <c r="K5" s="3" t="s">
        <v>79</v>
      </c>
      <c r="L5" s="3" t="s">
        <v>80</v>
      </c>
      <c r="M5" s="3" t="str">
        <f>IF(COUNTIF($C$2:$C$106,$C5)&gt;1,"Duplicado","Único")</f>
        <v>Único</v>
      </c>
      <c r="N5" s="3" t="str">
        <f>IFERROR(IF($F5=_xlfn.XLOOKUP($A5,'Fonte Referência'!$A$2:$A$13,'Fonte Referência'!$C$2:$C$13),"OK","Divergente"),"Não verificado")</f>
        <v>Não verificado</v>
      </c>
      <c r="O5" s="3" t="str">
        <f>IF(ABS($I5-DATEDIF($H5,DATE(2026,8,25),"Y"))&gt;1,"Inconsistente","OK")</f>
        <v>OK</v>
      </c>
    </row>
    <row r="6" spans="1:15" x14ac:dyDescent="0.3">
      <c r="A6" s="3" t="s">
        <v>81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5">
        <v>34105</v>
      </c>
      <c r="I6" s="6">
        <v>33</v>
      </c>
      <c r="J6" s="7">
        <v>2485</v>
      </c>
      <c r="K6" s="3" t="s">
        <v>59</v>
      </c>
      <c r="L6" s="3" t="s">
        <v>88</v>
      </c>
      <c r="M6" s="3" t="str">
        <f>IF(COUNTIF($C$2:$C$106,$C6)&gt;1,"Duplicado","Único")</f>
        <v>Duplicado</v>
      </c>
      <c r="N6" s="3" t="str">
        <f>IFERROR(IF($F6=_xlfn.XLOOKUP($A6,'Fonte Referência'!$A$2:$A$13,'Fonte Referência'!$C$2:$C$13),"OK","Divergente"),"Não verificado")</f>
        <v>Não verificado</v>
      </c>
      <c r="O6" s="3" t="str">
        <f>IF(ABS($I6-DATEDIF($H6,DATE(2026,8,25),"Y"))&gt;1,"Inconsistente","OK")</f>
        <v>OK</v>
      </c>
    </row>
    <row r="7" spans="1:15" x14ac:dyDescent="0.3">
      <c r="A7" s="3" t="s">
        <v>89</v>
      </c>
      <c r="B7" s="3" t="s">
        <v>90</v>
      </c>
      <c r="C7" s="3" t="s">
        <v>91</v>
      </c>
      <c r="D7" s="3" t="s">
        <v>92</v>
      </c>
      <c r="E7" s="3" t="s">
        <v>93</v>
      </c>
      <c r="F7" s="3" t="s">
        <v>39</v>
      </c>
      <c r="G7" s="3" t="s">
        <v>94</v>
      </c>
      <c r="H7" s="5">
        <v>36604</v>
      </c>
      <c r="I7" s="6">
        <v>26</v>
      </c>
      <c r="J7" s="7">
        <v>2622</v>
      </c>
      <c r="K7" s="3" t="s">
        <v>59</v>
      </c>
      <c r="L7" s="3" t="s">
        <v>60</v>
      </c>
      <c r="M7" s="3" t="str">
        <f>IF(COUNTIF($C$2:$C$106,$C7)&gt;1,"Duplicado","Único")</f>
        <v>Único</v>
      </c>
      <c r="N7" s="3" t="str">
        <f>IFERROR(IF($F7=_xlfn.XLOOKUP($A7,'Fonte Referência'!$A$2:$A$13,'Fonte Referência'!$C$2:$C$13),"OK","Divergente"),"Não verificado")</f>
        <v>Não verificado</v>
      </c>
      <c r="O7" s="3" t="str">
        <f>IF(ABS($I7-DATEDIF($H7,DATE(2026,8,25),"Y"))&gt;1,"Inconsistente","OK")</f>
        <v>OK</v>
      </c>
    </row>
    <row r="8" spans="1:15" x14ac:dyDescent="0.3">
      <c r="A8" s="3" t="s">
        <v>95</v>
      </c>
      <c r="B8" s="3" t="s">
        <v>96</v>
      </c>
      <c r="C8" s="3" t="s">
        <v>97</v>
      </c>
      <c r="D8" s="3" t="s">
        <v>98</v>
      </c>
      <c r="E8" s="3" t="s">
        <v>99</v>
      </c>
      <c r="F8" s="3" t="s">
        <v>17</v>
      </c>
      <c r="G8" s="3" t="s">
        <v>100</v>
      </c>
      <c r="H8" s="5">
        <v>22648</v>
      </c>
      <c r="I8" s="6">
        <v>64</v>
      </c>
      <c r="J8" s="7">
        <v>2759</v>
      </c>
      <c r="K8" s="3" t="s">
        <v>59</v>
      </c>
      <c r="L8" s="3" t="s">
        <v>67</v>
      </c>
      <c r="M8" s="3" t="str">
        <f>IF(COUNTIF($C$2:$C$106,$C8)&gt;1,"Duplicado","Único")</f>
        <v>Único</v>
      </c>
      <c r="N8" s="3" t="str">
        <f>IFERROR(IF($F8=_xlfn.XLOOKUP($A8,'Fonte Referência'!$A$2:$A$13,'Fonte Referência'!$C$2:$C$13),"OK","Divergente"),"Não verificado")</f>
        <v>Não verificado</v>
      </c>
      <c r="O8" s="3" t="str">
        <f>IF(ABS($I8-DATEDIF($H8,DATE(2026,8,25),"Y"))&gt;1,"Inconsistente","OK")</f>
        <v>OK</v>
      </c>
    </row>
    <row r="9" spans="1:15" x14ac:dyDescent="0.3">
      <c r="A9" s="3" t="s">
        <v>101</v>
      </c>
      <c r="B9" s="3" t="s">
        <v>22</v>
      </c>
      <c r="C9" s="3" t="s">
        <v>102</v>
      </c>
      <c r="D9" s="3" t="s">
        <v>103</v>
      </c>
      <c r="E9" s="3" t="s">
        <v>104</v>
      </c>
      <c r="F9" s="3" t="s">
        <v>23</v>
      </c>
      <c r="G9" s="3" t="s">
        <v>105</v>
      </c>
      <c r="H9" s="5">
        <v>25359</v>
      </c>
      <c r="I9" s="6">
        <v>57</v>
      </c>
      <c r="J9" s="7">
        <v>2896</v>
      </c>
      <c r="K9" s="3" t="s">
        <v>72</v>
      </c>
      <c r="L9" s="3" t="s">
        <v>73</v>
      </c>
      <c r="M9" s="3" t="str">
        <f>IF(COUNTIF($C$2:$C$106,$C9)&gt;1,"Duplicado","Único")</f>
        <v>Único</v>
      </c>
      <c r="N9" s="3" t="str">
        <f>IFERROR(IF($F9=_xlfn.XLOOKUP($A9,'Fonte Referência'!$A$2:$A$13,'Fonte Referência'!$C$2:$C$13),"OK","Divergente"),"Não verificado")</f>
        <v>Não verificado</v>
      </c>
      <c r="O9" s="3" t="str">
        <f>IF(ABS($I9-DATEDIF($H9,DATE(2026,8,25),"Y"))&gt;1,"Inconsistente","OK")</f>
        <v>OK</v>
      </c>
    </row>
    <row r="10" spans="1:15" x14ac:dyDescent="0.3">
      <c r="A10" s="3" t="s">
        <v>106</v>
      </c>
      <c r="B10" s="3" t="s">
        <v>107</v>
      </c>
      <c r="C10" s="3" t="s">
        <v>108</v>
      </c>
      <c r="D10" s="3" t="s">
        <v>109</v>
      </c>
      <c r="E10" s="3" t="s">
        <v>110</v>
      </c>
      <c r="F10" s="3" t="s">
        <v>36</v>
      </c>
      <c r="G10" s="3" t="s">
        <v>111</v>
      </c>
      <c r="H10" s="5">
        <v>27858</v>
      </c>
      <c r="I10" s="6">
        <v>50</v>
      </c>
      <c r="J10" s="7">
        <v>3033</v>
      </c>
      <c r="K10" s="3" t="s">
        <v>79</v>
      </c>
      <c r="L10" s="3" t="s">
        <v>80</v>
      </c>
      <c r="M10" s="3" t="str">
        <f>IF(COUNTIF($C$2:$C$106,$C10)&gt;1,"Duplicado","Único")</f>
        <v>Único</v>
      </c>
      <c r="N10" s="3" t="str">
        <f>IFERROR(IF($F10=_xlfn.XLOOKUP($A10,'Fonte Referência'!$A$2:$A$13,'Fonte Referência'!$C$2:$C$13),"OK","Divergente"),"Não verificado")</f>
        <v>Não verificado</v>
      </c>
      <c r="O10" s="3" t="str">
        <f>IF(ABS($I10-DATEDIF($H10,DATE(2026,8,25),"Y"))&gt;1,"Inconsistente","OK")</f>
        <v>OK</v>
      </c>
    </row>
    <row r="11" spans="1:15" x14ac:dyDescent="0.3">
      <c r="A11" s="3" t="s">
        <v>8</v>
      </c>
      <c r="B11" s="3" t="s">
        <v>9</v>
      </c>
      <c r="C11" s="3" t="s">
        <v>112</v>
      </c>
      <c r="D11" s="3" t="s">
        <v>113</v>
      </c>
      <c r="E11" s="3" t="s">
        <v>114</v>
      </c>
      <c r="F11" s="18" t="s">
        <v>33</v>
      </c>
      <c r="G11" s="3" t="s">
        <v>58</v>
      </c>
      <c r="H11" s="5">
        <v>30358</v>
      </c>
      <c r="I11" s="6">
        <v>43</v>
      </c>
      <c r="J11" s="7">
        <v>3170</v>
      </c>
      <c r="K11" s="3" t="s">
        <v>59</v>
      </c>
      <c r="L11" s="3" t="s">
        <v>88</v>
      </c>
      <c r="M11" s="3" t="str">
        <f>IF(COUNTIF($C$2:$C$106,$C11)&gt;1,"Duplicado","Único")</f>
        <v>Único</v>
      </c>
      <c r="N11" s="3" t="str">
        <f>IFERROR(IF($F11=_xlfn.XLOOKUP($A11,'Fonte Referência'!$A$2:$A$13,'Fonte Referência'!$C$2:$C$13),"OK","Divergente"),"Não verificado")</f>
        <v>Divergente</v>
      </c>
      <c r="O11" s="3" t="str">
        <f>IF(ABS($I11-DATEDIF($H11,DATE(2026,8,25),"Y"))&gt;1,"Inconsistente","OK")</f>
        <v>OK</v>
      </c>
    </row>
    <row r="12" spans="1:15" x14ac:dyDescent="0.3">
      <c r="A12" s="3" t="s">
        <v>115</v>
      </c>
      <c r="B12" s="3" t="s">
        <v>116</v>
      </c>
      <c r="C12" s="3" t="s">
        <v>117</v>
      </c>
      <c r="D12" s="3" t="s">
        <v>118</v>
      </c>
      <c r="E12" s="3" t="s">
        <v>119</v>
      </c>
      <c r="F12" s="3" t="s">
        <v>33</v>
      </c>
      <c r="G12" s="3" t="s">
        <v>58</v>
      </c>
      <c r="H12" s="5">
        <v>33068</v>
      </c>
      <c r="I12" s="6">
        <v>36</v>
      </c>
      <c r="J12" s="7">
        <v>3307</v>
      </c>
      <c r="K12" s="3" t="s">
        <v>59</v>
      </c>
      <c r="L12" s="3" t="s">
        <v>60</v>
      </c>
      <c r="M12" s="3" t="str">
        <f>IF(COUNTIF($C$2:$C$106,$C12)&gt;1,"Duplicado","Único")</f>
        <v>Único</v>
      </c>
      <c r="N12" s="3" t="str">
        <f>IFERROR(IF($F12=_xlfn.XLOOKUP($A12,'Fonte Referência'!$A$2:$A$13,'Fonte Referência'!$C$2:$C$13),"OK","Divergente"),"Não verificado")</f>
        <v>Não verificado</v>
      </c>
      <c r="O12" s="3" t="str">
        <f>IF(ABS($I12-DATEDIF($H12,DATE(2026,8,25),"Y"))&gt;1,"Inconsistente","OK")</f>
        <v>OK</v>
      </c>
    </row>
    <row r="13" spans="1:15" x14ac:dyDescent="0.3">
      <c r="A13" s="3" t="s">
        <v>120</v>
      </c>
      <c r="B13" s="3" t="s">
        <v>19</v>
      </c>
      <c r="C13" s="3" t="s">
        <v>121</v>
      </c>
      <c r="D13" s="3" t="s">
        <v>122</v>
      </c>
      <c r="E13" s="3" t="s">
        <v>123</v>
      </c>
      <c r="F13" s="3" t="s">
        <v>20</v>
      </c>
      <c r="G13" s="3" t="s">
        <v>66</v>
      </c>
      <c r="H13" s="5">
        <v>35567</v>
      </c>
      <c r="I13" s="6">
        <v>29</v>
      </c>
      <c r="J13" s="7">
        <v>3444</v>
      </c>
      <c r="K13" s="3" t="s">
        <v>59</v>
      </c>
      <c r="L13" s="3" t="s">
        <v>67</v>
      </c>
      <c r="M13" s="3" t="str">
        <f>IF(COUNTIF($C$2:$C$106,$C13)&gt;1,"Duplicado","Único")</f>
        <v>Único</v>
      </c>
      <c r="N13" s="3" t="str">
        <f>IFERROR(IF($F13=_xlfn.XLOOKUP($A13,'Fonte Referência'!$A$2:$A$13,'Fonte Referência'!$C$2:$C$13),"OK","Divergente"),"Não verificado")</f>
        <v>Não verificado</v>
      </c>
      <c r="O13" s="3" t="str">
        <f>IF(ABS($I13-DATEDIF($H13,DATE(2026,8,25),"Y"))&gt;1,"Inconsistente","OK")</f>
        <v>OK</v>
      </c>
    </row>
    <row r="14" spans="1:15" x14ac:dyDescent="0.3">
      <c r="A14" s="3" t="s">
        <v>124</v>
      </c>
      <c r="B14" s="3" t="s">
        <v>125</v>
      </c>
      <c r="C14" s="3" t="s">
        <v>126</v>
      </c>
      <c r="D14" s="3" t="s">
        <v>127</v>
      </c>
      <c r="E14" s="3" t="s">
        <v>128</v>
      </c>
      <c r="F14" s="3" t="s">
        <v>14</v>
      </c>
      <c r="G14" s="3" t="s">
        <v>71</v>
      </c>
      <c r="H14" s="5">
        <v>21629</v>
      </c>
      <c r="I14" s="6">
        <v>67</v>
      </c>
      <c r="J14" s="7">
        <v>3581</v>
      </c>
      <c r="K14" s="3" t="s">
        <v>72</v>
      </c>
      <c r="L14" s="3" t="s">
        <v>73</v>
      </c>
      <c r="M14" s="3" t="str">
        <f>IF(COUNTIF($C$2:$C$106,$C14)&gt;1,"Duplicado","Único")</f>
        <v>Único</v>
      </c>
      <c r="N14" s="3" t="str">
        <f>IFERROR(IF($F14=_xlfn.XLOOKUP($A14,'Fonte Referência'!$A$2:$A$13,'Fonte Referência'!$C$2:$C$13),"OK","Divergente"),"Não verificado")</f>
        <v>Não verificado</v>
      </c>
      <c r="O14" s="3" t="str">
        <f>IF(ABS($I14-DATEDIF($H14,DATE(2026,8,25),"Y"))&gt;1,"Inconsistente","OK")</f>
        <v>OK</v>
      </c>
    </row>
    <row r="15" spans="1:15" x14ac:dyDescent="0.3">
      <c r="A15" s="3" t="s">
        <v>29</v>
      </c>
      <c r="B15" s="3" t="s">
        <v>30</v>
      </c>
      <c r="C15" s="3" t="s">
        <v>129</v>
      </c>
      <c r="D15" s="3" t="s">
        <v>130</v>
      </c>
      <c r="E15" s="3" t="s">
        <v>131</v>
      </c>
      <c r="F15" s="3" t="s">
        <v>26</v>
      </c>
      <c r="G15" s="3" t="s">
        <v>78</v>
      </c>
      <c r="H15" s="5">
        <v>24110</v>
      </c>
      <c r="I15" s="6">
        <v>60</v>
      </c>
      <c r="J15" s="7">
        <v>3718</v>
      </c>
      <c r="K15" s="3" t="s">
        <v>79</v>
      </c>
      <c r="L15" s="3" t="s">
        <v>80</v>
      </c>
      <c r="M15" s="3" t="str">
        <f>IF(COUNTIF($C$2:$C$106,$C15)&gt;1,"Duplicado","Único")</f>
        <v>Único</v>
      </c>
      <c r="N15" s="3" t="str">
        <f>IFERROR(IF($F15=_xlfn.XLOOKUP($A15,'Fonte Referência'!$A$2:$A$13,'Fonte Referência'!$C$2:$C$13),"OK","Divergente"),"Não verificado")</f>
        <v>OK</v>
      </c>
      <c r="O15" s="3" t="str">
        <f>IF(ABS($I15-DATEDIF($H15,DATE(2026,8,25),"Y"))&gt;1,"Inconsistente","OK")</f>
        <v>OK</v>
      </c>
    </row>
    <row r="16" spans="1:15" x14ac:dyDescent="0.3">
      <c r="A16" s="3" t="s">
        <v>132</v>
      </c>
      <c r="B16" s="3" t="s">
        <v>133</v>
      </c>
      <c r="C16" s="3" t="s">
        <v>134</v>
      </c>
      <c r="D16" s="3" t="s">
        <v>135</v>
      </c>
      <c r="E16" s="3" t="s">
        <v>136</v>
      </c>
      <c r="F16" s="3" t="s">
        <v>86</v>
      </c>
      <c r="G16" s="3" t="s">
        <v>87</v>
      </c>
      <c r="H16" s="5">
        <v>26821</v>
      </c>
      <c r="I16" s="6">
        <v>41</v>
      </c>
      <c r="J16" s="7">
        <v>3855</v>
      </c>
      <c r="K16" s="3" t="s">
        <v>59</v>
      </c>
      <c r="L16" s="3" t="s">
        <v>88</v>
      </c>
      <c r="M16" s="3" t="str">
        <f>IF(COUNTIF($C$2:$C$106,$C16)&gt;1,"Duplicado","Único")</f>
        <v>Único</v>
      </c>
      <c r="N16" s="3" t="str">
        <f>IFERROR(IF($F16=_xlfn.XLOOKUP($A16,'Fonte Referência'!$A$2:$A$13,'Fonte Referência'!$C$2:$C$13),"OK","Divergente"),"Não verificado")</f>
        <v>Não verificado</v>
      </c>
      <c r="O16" s="3" t="str">
        <f>IF(ABS($I16-DATEDIF($H16,DATE(2026,8,25),"Y"))&gt;1,"Inconsistente","OK")</f>
        <v>Inconsistente</v>
      </c>
    </row>
    <row r="17" spans="1:15" x14ac:dyDescent="0.3">
      <c r="A17" s="3" t="s">
        <v>137</v>
      </c>
      <c r="B17" s="3" t="s">
        <v>38</v>
      </c>
      <c r="C17" s="3" t="s">
        <v>138</v>
      </c>
      <c r="D17" s="3" t="s">
        <v>139</v>
      </c>
      <c r="E17" s="3" t="s">
        <v>140</v>
      </c>
      <c r="F17" s="3" t="s">
        <v>39</v>
      </c>
      <c r="G17" s="3" t="s">
        <v>94</v>
      </c>
      <c r="H17" s="5">
        <v>29320</v>
      </c>
      <c r="I17" s="6">
        <v>46</v>
      </c>
      <c r="J17" s="7">
        <v>3992</v>
      </c>
      <c r="K17" s="3" t="s">
        <v>59</v>
      </c>
      <c r="L17" s="3" t="s">
        <v>60</v>
      </c>
      <c r="M17" s="3" t="str">
        <f>IF(COUNTIF($C$2:$C$106,$C17)&gt;1,"Duplicado","Único")</f>
        <v>Único</v>
      </c>
      <c r="N17" s="3" t="str">
        <f>IFERROR(IF($F17=_xlfn.XLOOKUP($A17,'Fonte Referência'!$A$2:$A$13,'Fonte Referência'!$C$2:$C$13),"OK","Divergente"),"Não verificado")</f>
        <v>Não verificado</v>
      </c>
      <c r="O17" s="3" t="str">
        <f>IF(ABS($I17-DATEDIF($H17,DATE(2026,8,25),"Y"))&gt;1,"Inconsistente","OK")</f>
        <v>OK</v>
      </c>
    </row>
    <row r="18" spans="1:15" x14ac:dyDescent="0.3">
      <c r="A18" s="3" t="s">
        <v>141</v>
      </c>
      <c r="B18" s="3" t="s">
        <v>16</v>
      </c>
      <c r="C18" s="3" t="s">
        <v>142</v>
      </c>
      <c r="D18" s="3" t="s">
        <v>143</v>
      </c>
      <c r="E18" s="3" t="s">
        <v>144</v>
      </c>
      <c r="F18" s="3" t="s">
        <v>17</v>
      </c>
      <c r="G18" s="3" t="s">
        <v>100</v>
      </c>
      <c r="H18" s="5">
        <v>31820</v>
      </c>
      <c r="I18" s="6">
        <v>39</v>
      </c>
      <c r="J18" s="7">
        <v>4129</v>
      </c>
      <c r="K18" s="3" t="s">
        <v>59</v>
      </c>
      <c r="L18" s="3" t="s">
        <v>67</v>
      </c>
      <c r="M18" s="3" t="str">
        <f>IF(COUNTIF($C$2:$C$106,$C18)&gt;1,"Duplicado","Único")</f>
        <v>Único</v>
      </c>
      <c r="N18" s="3" t="str">
        <f>IFERROR(IF($F18=_xlfn.XLOOKUP($A18,'Fonte Referência'!$A$2:$A$13,'Fonte Referência'!$C$2:$C$13),"OK","Divergente"),"Não verificado")</f>
        <v>Não verificado</v>
      </c>
      <c r="O18" s="3" t="str">
        <f>IF(ABS($I18-DATEDIF($H18,DATE(2026,8,25),"Y"))&gt;1,"Inconsistente","OK")</f>
        <v>OK</v>
      </c>
    </row>
    <row r="19" spans="1:15" x14ac:dyDescent="0.3">
      <c r="A19" s="3" t="s">
        <v>145</v>
      </c>
      <c r="B19" s="3" t="s">
        <v>146</v>
      </c>
      <c r="C19" s="3" t="s">
        <v>147</v>
      </c>
      <c r="D19" s="3" t="s">
        <v>148</v>
      </c>
      <c r="E19" s="3" t="s">
        <v>149</v>
      </c>
      <c r="F19" s="3" t="s">
        <v>23</v>
      </c>
      <c r="G19" s="3" t="s">
        <v>105</v>
      </c>
      <c r="H19" s="5">
        <v>34530</v>
      </c>
      <c r="I19" s="6">
        <v>32</v>
      </c>
      <c r="J19" s="7">
        <v>4266</v>
      </c>
      <c r="K19" s="3" t="s">
        <v>72</v>
      </c>
      <c r="L19" s="3" t="s">
        <v>73</v>
      </c>
      <c r="M19" s="3" t="str">
        <f>IF(COUNTIF($C$2:$C$106,$C19)&gt;1,"Duplicado","Único")</f>
        <v>Duplicado</v>
      </c>
      <c r="N19" s="3" t="str">
        <f>IFERROR(IF($F19=_xlfn.XLOOKUP($A19,'Fonte Referência'!$A$2:$A$13,'Fonte Referência'!$C$2:$C$13),"OK","Divergente"),"Não verificado")</f>
        <v>Não verificado</v>
      </c>
      <c r="O19" s="3" t="str">
        <f>IF(ABS($I19-DATEDIF($H19,DATE(2026,8,25),"Y"))&gt;1,"Inconsistente","OK")</f>
        <v>OK</v>
      </c>
    </row>
    <row r="20" spans="1:15" x14ac:dyDescent="0.3">
      <c r="A20" s="3" t="s">
        <v>150</v>
      </c>
      <c r="B20" s="3" t="s">
        <v>35</v>
      </c>
      <c r="C20" s="3" t="s">
        <v>151</v>
      </c>
      <c r="D20" s="3" t="s">
        <v>152</v>
      </c>
      <c r="E20" s="3" t="s">
        <v>153</v>
      </c>
      <c r="F20" s="3" t="s">
        <v>36</v>
      </c>
      <c r="G20" s="3" t="s">
        <v>111</v>
      </c>
      <c r="H20" s="5">
        <v>37029</v>
      </c>
      <c r="I20" s="6">
        <v>25</v>
      </c>
      <c r="J20" s="7">
        <v>4403</v>
      </c>
      <c r="K20" s="3" t="s">
        <v>79</v>
      </c>
      <c r="L20" s="3" t="s">
        <v>80</v>
      </c>
      <c r="M20" s="3" t="str">
        <f>IF(COUNTIF($C$2:$C$106,$C20)&gt;1,"Duplicado","Único")</f>
        <v>Único</v>
      </c>
      <c r="N20" s="3" t="str">
        <f>IFERROR(IF($F20=_xlfn.XLOOKUP($A20,'Fonte Referência'!$A$2:$A$13,'Fonte Referência'!$C$2:$C$13),"OK","Divergente"),"Não verificado")</f>
        <v>Não verificado</v>
      </c>
      <c r="O20" s="3" t="str">
        <f>IF(ABS($I20-DATEDIF($H20,DATE(2026,8,25),"Y"))&gt;1,"Inconsistente","OK")</f>
        <v>OK</v>
      </c>
    </row>
    <row r="21" spans="1:15" x14ac:dyDescent="0.3">
      <c r="A21" s="3" t="s">
        <v>154</v>
      </c>
      <c r="B21" s="3" t="s">
        <v>155</v>
      </c>
      <c r="C21" s="3" t="s">
        <v>156</v>
      </c>
      <c r="D21" s="3" t="s">
        <v>157</v>
      </c>
      <c r="E21" s="3" t="s">
        <v>158</v>
      </c>
      <c r="F21" s="3" t="s">
        <v>10</v>
      </c>
      <c r="G21" s="3" t="s">
        <v>159</v>
      </c>
      <c r="H21" s="5">
        <v>23071</v>
      </c>
      <c r="I21" s="6">
        <v>63</v>
      </c>
      <c r="J21" s="7">
        <v>4540</v>
      </c>
      <c r="K21" s="3" t="s">
        <v>59</v>
      </c>
      <c r="L21" s="3" t="s">
        <v>88</v>
      </c>
      <c r="M21" s="3" t="str">
        <f>IF(COUNTIF($C$2:$C$106,$C21)&gt;1,"Duplicado","Único")</f>
        <v>Único</v>
      </c>
      <c r="N21" s="3" t="str">
        <f>IFERROR(IF($F21=_xlfn.XLOOKUP($A21,'Fonte Referência'!$A$2:$A$13,'Fonte Referência'!$C$2:$C$13),"OK","Divergente"),"Não verificado")</f>
        <v>Não verificado</v>
      </c>
      <c r="O21" s="3" t="str">
        <f>IF(ABS($I21-DATEDIF($H21,DATE(2026,8,25),"Y"))&gt;1,"Inconsistente","OK")</f>
        <v>OK</v>
      </c>
    </row>
    <row r="22" spans="1:15" x14ac:dyDescent="0.3">
      <c r="A22" s="3" t="s">
        <v>160</v>
      </c>
      <c r="B22" s="3" t="s">
        <v>32</v>
      </c>
      <c r="C22" s="3" t="s">
        <v>161</v>
      </c>
      <c r="D22" s="3" t="s">
        <v>162</v>
      </c>
      <c r="E22" s="3" t="s">
        <v>163</v>
      </c>
      <c r="F22" s="3" t="s">
        <v>33</v>
      </c>
      <c r="G22" s="3" t="s">
        <v>58</v>
      </c>
      <c r="H22" s="5">
        <v>25572</v>
      </c>
      <c r="I22" s="6">
        <v>56</v>
      </c>
      <c r="J22" s="7">
        <v>4677</v>
      </c>
      <c r="K22" s="3" t="s">
        <v>59</v>
      </c>
      <c r="L22" s="3" t="s">
        <v>60</v>
      </c>
      <c r="M22" s="3" t="str">
        <f>IF(COUNTIF($C$2:$C$106,$C22)&gt;1,"Duplicado","Único")</f>
        <v>Único</v>
      </c>
      <c r="N22" s="3" t="str">
        <f>IFERROR(IF($F22=_xlfn.XLOOKUP($A22,'Fonte Referência'!$A$2:$A$13,'Fonte Referência'!$C$2:$C$13),"OK","Divergente"),"Não verificado")</f>
        <v>Não verificado</v>
      </c>
      <c r="O22" s="3" t="str">
        <f>IF(ABS($I22-DATEDIF($H22,DATE(2026,8,25),"Y"))&gt;1,"Inconsistente","OK")</f>
        <v>OK</v>
      </c>
    </row>
    <row r="23" spans="1:15" x14ac:dyDescent="0.3">
      <c r="A23" s="3" t="s">
        <v>164</v>
      </c>
      <c r="B23" s="3" t="s">
        <v>62</v>
      </c>
      <c r="C23" s="3" t="s">
        <v>165</v>
      </c>
      <c r="D23" s="3" t="s">
        <v>166</v>
      </c>
      <c r="E23" s="3" t="s">
        <v>167</v>
      </c>
      <c r="F23" s="3" t="s">
        <v>20</v>
      </c>
      <c r="G23" s="3" t="s">
        <v>66</v>
      </c>
      <c r="H23" s="5">
        <v>28283</v>
      </c>
      <c r="I23" s="6">
        <v>49</v>
      </c>
      <c r="J23" s="7">
        <v>4814</v>
      </c>
      <c r="K23" s="3" t="s">
        <v>59</v>
      </c>
      <c r="L23" s="3" t="s">
        <v>67</v>
      </c>
      <c r="M23" s="3" t="str">
        <f>IF(COUNTIF($C$2:$C$106,$C23)&gt;1,"Duplicado","Único")</f>
        <v>Único</v>
      </c>
      <c r="N23" s="3" t="str">
        <f>IFERROR(IF($F23=_xlfn.XLOOKUP($A23,'Fonte Referência'!$A$2:$A$13,'Fonte Referência'!$C$2:$C$13),"OK","Divergente"),"Não verificado")</f>
        <v>Não verificado</v>
      </c>
      <c r="O23" s="3" t="str">
        <f>IF(ABS($I23-DATEDIF($H23,DATE(2026,8,25),"Y"))&gt;1,"Inconsistente","OK")</f>
        <v>OK</v>
      </c>
    </row>
    <row r="24" spans="1:15" x14ac:dyDescent="0.3">
      <c r="A24" s="3" t="s">
        <v>12</v>
      </c>
      <c r="B24" s="3" t="s">
        <v>13</v>
      </c>
      <c r="C24" s="3" t="s">
        <v>168</v>
      </c>
      <c r="D24" s="3" t="s">
        <v>169</v>
      </c>
      <c r="E24" s="3" t="s">
        <v>170</v>
      </c>
      <c r="F24" s="18" t="s">
        <v>26</v>
      </c>
      <c r="G24" s="3" t="s">
        <v>78</v>
      </c>
      <c r="H24" s="5">
        <v>30782</v>
      </c>
      <c r="I24" s="6">
        <v>42</v>
      </c>
      <c r="J24" s="7">
        <v>4951</v>
      </c>
      <c r="K24" s="3" t="s">
        <v>72</v>
      </c>
      <c r="L24" s="3" t="s">
        <v>73</v>
      </c>
      <c r="M24" s="3" t="str">
        <f>IF(COUNTIF($C$2:$C$106,$C24)&gt;1,"Duplicado","Único")</f>
        <v>Único</v>
      </c>
      <c r="N24" s="3" t="str">
        <f>IFERROR(IF($F24=_xlfn.XLOOKUP($A24,'Fonte Referência'!$A$2:$A$13,'Fonte Referência'!$C$2:$C$13),"OK","Divergente"),"Não verificado")</f>
        <v>Divergente</v>
      </c>
      <c r="O24" s="3" t="str">
        <f>IF(ABS($I24-DATEDIF($H24,DATE(2026,8,25),"Y"))&gt;1,"Inconsistente","OK")</f>
        <v>OK</v>
      </c>
    </row>
    <row r="25" spans="1:15" x14ac:dyDescent="0.3">
      <c r="A25" s="3" t="s">
        <v>171</v>
      </c>
      <c r="B25" s="3" t="s">
        <v>25</v>
      </c>
      <c r="C25" s="3" t="s">
        <v>172</v>
      </c>
      <c r="D25" s="3" t="s">
        <v>173</v>
      </c>
      <c r="E25" s="3" t="s">
        <v>174</v>
      </c>
      <c r="F25" s="3" t="s">
        <v>26</v>
      </c>
      <c r="G25" s="3" t="s">
        <v>78</v>
      </c>
      <c r="H25" s="5">
        <v>33282</v>
      </c>
      <c r="I25" s="6">
        <v>35</v>
      </c>
      <c r="J25" s="7">
        <v>5088</v>
      </c>
      <c r="K25" s="3" t="s">
        <v>79</v>
      </c>
      <c r="L25" s="3" t="s">
        <v>80</v>
      </c>
      <c r="M25" s="3" t="str">
        <f>IF(COUNTIF($C$2:$C$106,$C25)&gt;1,"Duplicado","Único")</f>
        <v>Único</v>
      </c>
      <c r="N25" s="3" t="str">
        <f>IFERROR(IF($F25=_xlfn.XLOOKUP($A25,'Fonte Referência'!$A$2:$A$13,'Fonte Referência'!$C$2:$C$13),"OK","Divergente"),"Não verificado")</f>
        <v>Não verificado</v>
      </c>
      <c r="O25" s="3" t="str">
        <f>IF(ABS($I25-DATEDIF($H25,DATE(2026,8,25),"Y"))&gt;1,"Inconsistente","OK")</f>
        <v>OK</v>
      </c>
    </row>
    <row r="26" spans="1:15" x14ac:dyDescent="0.3">
      <c r="A26" s="3" t="s">
        <v>175</v>
      </c>
      <c r="B26" s="3" t="s">
        <v>82</v>
      </c>
      <c r="C26" s="3" t="s">
        <v>176</v>
      </c>
      <c r="D26" s="3" t="s">
        <v>177</v>
      </c>
      <c r="E26" s="3" t="s">
        <v>178</v>
      </c>
      <c r="F26" s="3" t="s">
        <v>86</v>
      </c>
      <c r="G26" s="3" t="s">
        <v>87</v>
      </c>
      <c r="H26" s="5">
        <v>35992</v>
      </c>
      <c r="I26" s="6">
        <v>28</v>
      </c>
      <c r="J26" s="7">
        <v>5225</v>
      </c>
      <c r="K26" s="3" t="s">
        <v>59</v>
      </c>
      <c r="L26" s="3" t="s">
        <v>88</v>
      </c>
      <c r="M26" s="3" t="str">
        <f>IF(COUNTIF($C$2:$C$106,$C26)&gt;1,"Duplicado","Único")</f>
        <v>Único</v>
      </c>
      <c r="N26" s="3" t="str">
        <f>IFERROR(IF($F26=_xlfn.XLOOKUP($A26,'Fonte Referência'!$A$2:$A$13,'Fonte Referência'!$C$2:$C$13),"OK","Divergente"),"Não verificado")</f>
        <v>Não verificado</v>
      </c>
      <c r="O26" s="3" t="str">
        <f>IF(ABS($I26-DATEDIF($H26,DATE(2026,8,25),"Y"))&gt;1,"Inconsistente","OK")</f>
        <v>OK</v>
      </c>
    </row>
    <row r="27" spans="1:15" x14ac:dyDescent="0.3">
      <c r="A27" s="3" t="s">
        <v>179</v>
      </c>
      <c r="B27" s="3" t="s">
        <v>90</v>
      </c>
      <c r="C27" s="3" t="s">
        <v>180</v>
      </c>
      <c r="D27" s="3" t="s">
        <v>181</v>
      </c>
      <c r="E27" s="3" t="s">
        <v>182</v>
      </c>
      <c r="F27" s="3" t="s">
        <v>39</v>
      </c>
      <c r="G27" s="3" t="s">
        <v>94</v>
      </c>
      <c r="H27" s="5">
        <v>22055</v>
      </c>
      <c r="I27" s="6">
        <v>66</v>
      </c>
      <c r="J27" s="7">
        <v>5362</v>
      </c>
      <c r="K27" s="3" t="s">
        <v>59</v>
      </c>
      <c r="L27" s="3" t="s">
        <v>60</v>
      </c>
      <c r="M27" s="3" t="str">
        <f>IF(COUNTIF($C$2:$C$106,$C27)&gt;1,"Duplicado","Único")</f>
        <v>Único</v>
      </c>
      <c r="N27" s="3" t="str">
        <f>IFERROR(IF($F27=_xlfn.XLOOKUP($A27,'Fonte Referência'!$A$2:$A$13,'Fonte Referência'!$C$2:$C$13),"OK","Divergente"),"Não verificado")</f>
        <v>Não verificado</v>
      </c>
      <c r="O27" s="3" t="str">
        <f>IF(ABS($I27-DATEDIF($H27,DATE(2026,8,25),"Y"))&gt;1,"Inconsistente","OK")</f>
        <v>OK</v>
      </c>
    </row>
    <row r="28" spans="1:15" x14ac:dyDescent="0.3">
      <c r="A28" s="3" t="s">
        <v>183</v>
      </c>
      <c r="B28" s="3" t="s">
        <v>96</v>
      </c>
      <c r="C28" s="3" t="s">
        <v>184</v>
      </c>
      <c r="D28" s="3" t="s">
        <v>185</v>
      </c>
      <c r="E28" s="3" t="s">
        <v>186</v>
      </c>
      <c r="F28" s="3" t="s">
        <v>17</v>
      </c>
      <c r="G28" s="3" t="s">
        <v>100</v>
      </c>
      <c r="H28" s="5">
        <v>24533</v>
      </c>
      <c r="I28" s="6">
        <v>59</v>
      </c>
      <c r="J28" s="7">
        <v>5499</v>
      </c>
      <c r="K28" s="3" t="s">
        <v>59</v>
      </c>
      <c r="L28" s="3" t="s">
        <v>67</v>
      </c>
      <c r="M28" s="3" t="str">
        <f>IF(COUNTIF($C$2:$C$106,$C28)&gt;1,"Duplicado","Único")</f>
        <v>Único</v>
      </c>
      <c r="N28" s="3" t="str">
        <f>IFERROR(IF($F28=_xlfn.XLOOKUP($A28,'Fonte Referência'!$A$2:$A$13,'Fonte Referência'!$C$2:$C$13),"OK","Divergente"),"Não verificado")</f>
        <v>Não verificado</v>
      </c>
      <c r="O28" s="3" t="str">
        <f>IF(ABS($I28-DATEDIF($H28,DATE(2026,8,25),"Y"))&gt;1,"Inconsistente","OK")</f>
        <v>OK</v>
      </c>
    </row>
    <row r="29" spans="1:15" x14ac:dyDescent="0.3">
      <c r="A29" s="3" t="s">
        <v>187</v>
      </c>
      <c r="B29" s="3" t="s">
        <v>22</v>
      </c>
      <c r="C29" s="3" t="s">
        <v>188</v>
      </c>
      <c r="D29" s="3" t="s">
        <v>189</v>
      </c>
      <c r="E29" s="3" t="s">
        <v>190</v>
      </c>
      <c r="F29" s="3" t="s">
        <v>23</v>
      </c>
      <c r="G29" s="3" t="s">
        <v>105</v>
      </c>
      <c r="H29" s="5">
        <v>27034</v>
      </c>
      <c r="I29" s="6">
        <v>52</v>
      </c>
      <c r="J29" s="7">
        <v>5636</v>
      </c>
      <c r="K29" s="3" t="s">
        <v>72</v>
      </c>
      <c r="L29" s="3" t="s">
        <v>73</v>
      </c>
      <c r="M29" s="3" t="str">
        <f>IF(COUNTIF($C$2:$C$106,$C29)&gt;1,"Duplicado","Único")</f>
        <v>Único</v>
      </c>
      <c r="N29" s="3" t="str">
        <f>IFERROR(IF($F29=_xlfn.XLOOKUP($A29,'Fonte Referência'!$A$2:$A$13,'Fonte Referência'!$C$2:$C$13),"OK","Divergente"),"Não verificado")</f>
        <v>Não verificado</v>
      </c>
      <c r="O29" s="3" t="str">
        <f>IF(ABS($I29-DATEDIF($H29,DATE(2026,8,25),"Y"))&gt;1,"Inconsistente","OK")</f>
        <v>OK</v>
      </c>
    </row>
    <row r="30" spans="1:15" x14ac:dyDescent="0.3">
      <c r="A30" s="3" t="s">
        <v>191</v>
      </c>
      <c r="B30" s="3" t="s">
        <v>107</v>
      </c>
      <c r="C30" s="3" t="s">
        <v>192</v>
      </c>
      <c r="D30" s="3" t="s">
        <v>193</v>
      </c>
      <c r="E30" s="3" t="s">
        <v>194</v>
      </c>
      <c r="F30" s="3" t="s">
        <v>36</v>
      </c>
      <c r="G30" s="3" t="s">
        <v>111</v>
      </c>
      <c r="H30" s="5">
        <v>29745</v>
      </c>
      <c r="I30" s="6">
        <v>45</v>
      </c>
      <c r="J30" s="7">
        <v>5773</v>
      </c>
      <c r="K30" s="3" t="s">
        <v>79</v>
      </c>
      <c r="L30" s="3" t="s">
        <v>80</v>
      </c>
      <c r="M30" s="3" t="str">
        <f>IF(COUNTIF($C$2:$C$106,$C30)&gt;1,"Duplicado","Único")</f>
        <v>Único</v>
      </c>
      <c r="N30" s="3" t="str">
        <f>IFERROR(IF($F30=_xlfn.XLOOKUP($A30,'Fonte Referência'!$A$2:$A$13,'Fonte Referência'!$C$2:$C$13),"OK","Divergente"),"Não verificado")</f>
        <v>Não verificado</v>
      </c>
      <c r="O30" s="3" t="str">
        <f>IF(ABS($I30-DATEDIF($H30,DATE(2026,8,25),"Y"))&gt;1,"Inconsistente","OK")</f>
        <v>OK</v>
      </c>
    </row>
    <row r="31" spans="1:15" x14ac:dyDescent="0.3">
      <c r="A31" s="3" t="s">
        <v>195</v>
      </c>
      <c r="B31" s="3" t="s">
        <v>9</v>
      </c>
      <c r="C31" s="3" t="s">
        <v>196</v>
      </c>
      <c r="D31" s="3" t="s">
        <v>197</v>
      </c>
      <c r="E31" s="3" t="s">
        <v>198</v>
      </c>
      <c r="F31" s="3" t="s">
        <v>10</v>
      </c>
      <c r="G31" s="3" t="s">
        <v>159</v>
      </c>
      <c r="H31" s="5">
        <v>32244</v>
      </c>
      <c r="I31" s="6">
        <v>38</v>
      </c>
      <c r="J31" s="7">
        <v>5910</v>
      </c>
      <c r="K31" s="3" t="s">
        <v>59</v>
      </c>
      <c r="L31" s="3" t="s">
        <v>88</v>
      </c>
      <c r="M31" s="3" t="str">
        <f>IF(COUNTIF($C$2:$C$106,$C31)&gt;1,"Duplicado","Único")</f>
        <v>Único</v>
      </c>
      <c r="N31" s="3" t="str">
        <f>IFERROR(IF($F31=_xlfn.XLOOKUP($A31,'Fonte Referência'!$A$2:$A$13,'Fonte Referência'!$C$2:$C$13),"OK","Divergente"),"Não verificado")</f>
        <v>Não verificado</v>
      </c>
      <c r="O31" s="3" t="str">
        <f>IF(ABS($I31-DATEDIF($H31,DATE(2026,8,25),"Y"))&gt;1,"Inconsistente","OK")</f>
        <v>OK</v>
      </c>
    </row>
    <row r="32" spans="1:15" x14ac:dyDescent="0.3">
      <c r="A32" s="3" t="s">
        <v>199</v>
      </c>
      <c r="B32" s="3" t="s">
        <v>116</v>
      </c>
      <c r="C32" s="3" t="s">
        <v>200</v>
      </c>
      <c r="D32" s="3" t="s">
        <v>201</v>
      </c>
      <c r="E32" s="3" t="s">
        <v>202</v>
      </c>
      <c r="F32" s="3" t="s">
        <v>33</v>
      </c>
      <c r="G32" s="3" t="s">
        <v>58</v>
      </c>
      <c r="H32" s="5">
        <v>34744</v>
      </c>
      <c r="I32" s="6">
        <v>19</v>
      </c>
      <c r="J32" s="7">
        <v>6047</v>
      </c>
      <c r="K32" s="3" t="s">
        <v>59</v>
      </c>
      <c r="L32" s="3" t="s">
        <v>60</v>
      </c>
      <c r="M32" s="3" t="str">
        <f>IF(COUNTIF($C$2:$C$106,$C32)&gt;1,"Duplicado","Único")</f>
        <v>Único</v>
      </c>
      <c r="N32" s="3" t="str">
        <f>IFERROR(IF($F32=_xlfn.XLOOKUP($A32,'Fonte Referência'!$A$2:$A$13,'Fonte Referência'!$C$2:$C$13),"OK","Divergente"),"Não verificado")</f>
        <v>Não verificado</v>
      </c>
      <c r="O32" s="3" t="str">
        <f>IF(ABS($I32-DATEDIF($H32,DATE(2026,8,25),"Y"))&gt;1,"Inconsistente","OK")</f>
        <v>Inconsistente</v>
      </c>
    </row>
    <row r="33" spans="1:15" x14ac:dyDescent="0.3">
      <c r="A33" s="3" t="s">
        <v>203</v>
      </c>
      <c r="B33" s="3" t="s">
        <v>19</v>
      </c>
      <c r="C33" s="3" t="s">
        <v>204</v>
      </c>
      <c r="D33" s="3" t="s">
        <v>205</v>
      </c>
      <c r="E33" s="3" t="s">
        <v>206</v>
      </c>
      <c r="F33" s="3" t="s">
        <v>20</v>
      </c>
      <c r="G33" s="3" t="s">
        <v>66</v>
      </c>
      <c r="H33" s="5">
        <v>37454</v>
      </c>
      <c r="I33" s="6">
        <v>24</v>
      </c>
      <c r="J33" s="7">
        <v>6184</v>
      </c>
      <c r="K33" s="3" t="s">
        <v>59</v>
      </c>
      <c r="L33" s="3" t="s">
        <v>67</v>
      </c>
      <c r="M33" s="3" t="str">
        <f>IF(COUNTIF($C$2:$C$106,$C33)&gt;1,"Duplicado","Único")</f>
        <v>Único</v>
      </c>
      <c r="N33" s="3" t="str">
        <f>IFERROR(IF($F33=_xlfn.XLOOKUP($A33,'Fonte Referência'!$A$2:$A$13,'Fonte Referência'!$C$2:$C$13),"OK","Divergente"),"Não verificado")</f>
        <v>Não verificado</v>
      </c>
      <c r="O33" s="3" t="str">
        <f>IF(ABS($I33-DATEDIF($H33,DATE(2026,8,25),"Y"))&gt;1,"Inconsistente","OK")</f>
        <v>OK</v>
      </c>
    </row>
    <row r="34" spans="1:15" x14ac:dyDescent="0.3">
      <c r="A34" s="3" t="s">
        <v>207</v>
      </c>
      <c r="B34" s="3" t="s">
        <v>125</v>
      </c>
      <c r="C34" s="3" t="s">
        <v>208</v>
      </c>
      <c r="D34" s="3" t="s">
        <v>209</v>
      </c>
      <c r="E34" s="3" t="s">
        <v>210</v>
      </c>
      <c r="F34" s="3" t="s">
        <v>14</v>
      </c>
      <c r="G34" s="3" t="s">
        <v>71</v>
      </c>
      <c r="H34" s="5">
        <v>23517</v>
      </c>
      <c r="I34" s="6">
        <v>62</v>
      </c>
      <c r="J34" s="7">
        <v>6321</v>
      </c>
      <c r="K34" s="3" t="s">
        <v>72</v>
      </c>
      <c r="L34" s="3" t="s">
        <v>73</v>
      </c>
      <c r="M34" s="3" t="str">
        <f>IF(COUNTIF($C$2:$C$106,$C34)&gt;1,"Duplicado","Único")</f>
        <v>Único</v>
      </c>
      <c r="N34" s="3" t="str">
        <f>IFERROR(IF($F34=_xlfn.XLOOKUP($A34,'Fonte Referência'!$A$2:$A$13,'Fonte Referência'!$C$2:$C$13),"OK","Divergente"),"Não verificado")</f>
        <v>Não verificado</v>
      </c>
      <c r="O34" s="3" t="str">
        <f>IF(ABS($I34-DATEDIF($H34,DATE(2026,8,25),"Y"))&gt;1,"Inconsistente","OK")</f>
        <v>OK</v>
      </c>
    </row>
    <row r="35" spans="1:15" x14ac:dyDescent="0.3">
      <c r="A35" s="3" t="s">
        <v>211</v>
      </c>
      <c r="B35" s="3" t="s">
        <v>30</v>
      </c>
      <c r="C35" s="3" t="s">
        <v>212</v>
      </c>
      <c r="D35" s="3" t="s">
        <v>213</v>
      </c>
      <c r="E35" s="3" t="s">
        <v>214</v>
      </c>
      <c r="F35" s="3" t="s">
        <v>26</v>
      </c>
      <c r="G35" s="3" t="s">
        <v>78</v>
      </c>
      <c r="H35" s="5">
        <v>25995</v>
      </c>
      <c r="I35" s="6">
        <v>55</v>
      </c>
      <c r="J35" s="7">
        <v>6458</v>
      </c>
      <c r="K35" s="3" t="s">
        <v>79</v>
      </c>
      <c r="L35" s="3" t="s">
        <v>80</v>
      </c>
      <c r="M35" s="3" t="str">
        <f>IF(COUNTIF($C$2:$C$106,$C35)&gt;1,"Duplicado","Único")</f>
        <v>Único</v>
      </c>
      <c r="N35" s="3" t="str">
        <f>IFERROR(IF($F35=_xlfn.XLOOKUP($A35,'Fonte Referência'!$A$2:$A$13,'Fonte Referência'!$C$2:$C$13),"OK","Divergente"),"Não verificado")</f>
        <v>Não verificado</v>
      </c>
      <c r="O35" s="3" t="str">
        <f>IF(ABS($I35-DATEDIF($H35,DATE(2026,8,25),"Y"))&gt;1,"Inconsistente","OK")</f>
        <v>OK</v>
      </c>
    </row>
    <row r="36" spans="1:15" x14ac:dyDescent="0.3">
      <c r="A36" s="3" t="s">
        <v>215</v>
      </c>
      <c r="B36" s="3" t="s">
        <v>133</v>
      </c>
      <c r="C36" s="3" t="s">
        <v>216</v>
      </c>
      <c r="D36" s="3" t="s">
        <v>217</v>
      </c>
      <c r="E36" s="3" t="s">
        <v>218</v>
      </c>
      <c r="F36" s="3" t="s">
        <v>86</v>
      </c>
      <c r="G36" s="3" t="s">
        <v>87</v>
      </c>
      <c r="H36" s="5">
        <v>28496</v>
      </c>
      <c r="I36" s="6">
        <v>48</v>
      </c>
      <c r="J36" s="7">
        <v>6595</v>
      </c>
      <c r="K36" s="3" t="s">
        <v>59</v>
      </c>
      <c r="L36" s="3" t="s">
        <v>88</v>
      </c>
      <c r="M36" s="3" t="str">
        <f>IF(COUNTIF($C$2:$C$106,$C36)&gt;1,"Duplicado","Único")</f>
        <v>Único</v>
      </c>
      <c r="N36" s="3" t="str">
        <f>IFERROR(IF($F36=_xlfn.XLOOKUP($A36,'Fonte Referência'!$A$2:$A$13,'Fonte Referência'!$C$2:$C$13),"OK","Divergente"),"Não verificado")</f>
        <v>Não verificado</v>
      </c>
      <c r="O36" s="3" t="str">
        <f>IF(ABS($I36-DATEDIF($H36,DATE(2026,8,25),"Y"))&gt;1,"Inconsistente","OK")</f>
        <v>OK</v>
      </c>
    </row>
    <row r="37" spans="1:15" x14ac:dyDescent="0.3">
      <c r="A37" s="3" t="s">
        <v>219</v>
      </c>
      <c r="B37" s="3" t="s">
        <v>38</v>
      </c>
      <c r="C37" s="3" t="s">
        <v>220</v>
      </c>
      <c r="D37" s="3" t="s">
        <v>221</v>
      </c>
      <c r="E37" s="3" t="s">
        <v>222</v>
      </c>
      <c r="F37" s="3" t="s">
        <v>39</v>
      </c>
      <c r="G37" s="3" t="s">
        <v>94</v>
      </c>
      <c r="H37" s="5">
        <v>31207</v>
      </c>
      <c r="I37" s="6">
        <v>41</v>
      </c>
      <c r="J37" s="7">
        <v>6732</v>
      </c>
      <c r="K37" s="3" t="s">
        <v>59</v>
      </c>
      <c r="L37" s="3" t="s">
        <v>60</v>
      </c>
      <c r="M37" s="3" t="str">
        <f>IF(COUNTIF($C$2:$C$106,$C37)&gt;1,"Duplicado","Único")</f>
        <v>Único</v>
      </c>
      <c r="N37" s="3" t="str">
        <f>IFERROR(IF($F37=_xlfn.XLOOKUP($A37,'Fonte Referência'!$A$2:$A$13,'Fonte Referência'!$C$2:$C$13),"OK","Divergente"),"Não verificado")</f>
        <v>Não verificado</v>
      </c>
      <c r="O37" s="3" t="str">
        <f>IF(ABS($I37-DATEDIF($H37,DATE(2026,8,25),"Y"))&gt;1,"Inconsistente","OK")</f>
        <v>OK</v>
      </c>
    </row>
    <row r="38" spans="1:15" x14ac:dyDescent="0.3">
      <c r="A38" s="3" t="s">
        <v>15</v>
      </c>
      <c r="B38" s="3" t="s">
        <v>16</v>
      </c>
      <c r="C38" s="3" t="s">
        <v>223</v>
      </c>
      <c r="D38" s="3" t="s">
        <v>224</v>
      </c>
      <c r="E38" s="3" t="s">
        <v>225</v>
      </c>
      <c r="F38" s="18" t="s">
        <v>23</v>
      </c>
      <c r="G38" s="3" t="s">
        <v>105</v>
      </c>
      <c r="H38" s="5">
        <v>33706</v>
      </c>
      <c r="I38" s="6">
        <v>34</v>
      </c>
      <c r="J38" s="7">
        <v>6869</v>
      </c>
      <c r="K38" s="3" t="s">
        <v>59</v>
      </c>
      <c r="L38" s="3" t="s">
        <v>67</v>
      </c>
      <c r="M38" s="3" t="str">
        <f>IF(COUNTIF($C$2:$C$106,$C38)&gt;1,"Duplicado","Único")</f>
        <v>Único</v>
      </c>
      <c r="N38" s="3" t="str">
        <f>IFERROR(IF($F38=_xlfn.XLOOKUP($A38,'Fonte Referência'!$A$2:$A$13,'Fonte Referência'!$C$2:$C$13),"OK","Divergente"),"Não verificado")</f>
        <v>Divergente</v>
      </c>
      <c r="O38" s="3" t="str">
        <f>IF(ABS($I38-DATEDIF($H38,DATE(2026,8,25),"Y"))&gt;1,"Inconsistente","OK")</f>
        <v>OK</v>
      </c>
    </row>
    <row r="39" spans="1:15" x14ac:dyDescent="0.3">
      <c r="A39" s="3" t="s">
        <v>226</v>
      </c>
      <c r="B39" s="3" t="s">
        <v>146</v>
      </c>
      <c r="C39" s="3" t="s">
        <v>227</v>
      </c>
      <c r="D39" s="3" t="s">
        <v>228</v>
      </c>
      <c r="E39" s="3" t="s">
        <v>229</v>
      </c>
      <c r="F39" s="3" t="s">
        <v>23</v>
      </c>
      <c r="G39" s="3" t="s">
        <v>105</v>
      </c>
      <c r="H39" s="5">
        <v>36206</v>
      </c>
      <c r="I39" s="6">
        <v>27</v>
      </c>
      <c r="J39" s="7">
        <v>7006</v>
      </c>
      <c r="K39" s="3" t="s">
        <v>72</v>
      </c>
      <c r="L39" s="3" t="s">
        <v>73</v>
      </c>
      <c r="M39" s="3" t="str">
        <f>IF(COUNTIF($C$2:$C$106,$C39)&gt;1,"Duplicado","Único")</f>
        <v>Único</v>
      </c>
      <c r="N39" s="3" t="str">
        <f>IFERROR(IF($F39=_xlfn.XLOOKUP($A39,'Fonte Referência'!$A$2:$A$13,'Fonte Referência'!$C$2:$C$13),"OK","Divergente"),"Não verificado")</f>
        <v>Não verificado</v>
      </c>
      <c r="O39" s="3" t="str">
        <f>IF(ABS($I39-DATEDIF($H39,DATE(2026,8,25),"Y"))&gt;1,"Inconsistente","OK")</f>
        <v>OK</v>
      </c>
    </row>
    <row r="40" spans="1:15" x14ac:dyDescent="0.3">
      <c r="A40" s="3" t="s">
        <v>230</v>
      </c>
      <c r="B40" s="3" t="s">
        <v>35</v>
      </c>
      <c r="C40" s="3" t="s">
        <v>231</v>
      </c>
      <c r="D40" s="3" t="s">
        <v>232</v>
      </c>
      <c r="E40" s="3" t="s">
        <v>233</v>
      </c>
      <c r="F40" s="3" t="s">
        <v>36</v>
      </c>
      <c r="G40" s="3" t="s">
        <v>111</v>
      </c>
      <c r="H40" s="5">
        <v>22480</v>
      </c>
      <c r="I40" s="6">
        <v>65</v>
      </c>
      <c r="J40" s="7">
        <v>7143</v>
      </c>
      <c r="K40" s="3" t="s">
        <v>79</v>
      </c>
      <c r="L40" s="3" t="s">
        <v>80</v>
      </c>
      <c r="M40" s="3" t="str">
        <f>IF(COUNTIF($C$2:$C$106,$C40)&gt;1,"Duplicado","Único")</f>
        <v>Único</v>
      </c>
      <c r="N40" s="3" t="str">
        <f>IFERROR(IF($F40=_xlfn.XLOOKUP($A40,'Fonte Referência'!$A$2:$A$13,'Fonte Referência'!$C$2:$C$13),"OK","Divergente"),"Não verificado")</f>
        <v>Não verificado</v>
      </c>
      <c r="O40" s="3" t="str">
        <f>IF(ABS($I40-DATEDIF($H40,DATE(2026,8,25),"Y"))&gt;1,"Inconsistente","OK")</f>
        <v>OK</v>
      </c>
    </row>
    <row r="41" spans="1:15" x14ac:dyDescent="0.3">
      <c r="A41" s="3" t="s">
        <v>234</v>
      </c>
      <c r="B41" s="3" t="s">
        <v>155</v>
      </c>
      <c r="C41" s="3" t="s">
        <v>235</v>
      </c>
      <c r="D41" s="3" t="s">
        <v>236</v>
      </c>
      <c r="E41" s="3" t="s">
        <v>237</v>
      </c>
      <c r="F41" s="3" t="s">
        <v>10</v>
      </c>
      <c r="G41" s="3" t="s">
        <v>159</v>
      </c>
      <c r="H41" s="5">
        <v>24959</v>
      </c>
      <c r="I41" s="6">
        <v>58</v>
      </c>
      <c r="J41" s="7">
        <v>7280</v>
      </c>
      <c r="K41" s="3" t="s">
        <v>59</v>
      </c>
      <c r="L41" s="3" t="s">
        <v>88</v>
      </c>
      <c r="M41" s="3" t="str">
        <f>IF(COUNTIF($C$2:$C$106,$C41)&gt;1,"Duplicado","Único")</f>
        <v>Único</v>
      </c>
      <c r="N41" s="3" t="str">
        <f>IFERROR(IF($F41=_xlfn.XLOOKUP($A41,'Fonte Referência'!$A$2:$A$13,'Fonte Referência'!$C$2:$C$13),"OK","Divergente"),"Não verificado")</f>
        <v>Não verificado</v>
      </c>
      <c r="O41" s="3" t="str">
        <f>IF(ABS($I41-DATEDIF($H41,DATE(2026,8,25),"Y"))&gt;1,"Inconsistente","OK")</f>
        <v>OK</v>
      </c>
    </row>
    <row r="42" spans="1:15" x14ac:dyDescent="0.3">
      <c r="A42" s="3" t="s">
        <v>31</v>
      </c>
      <c r="B42" s="3" t="s">
        <v>32</v>
      </c>
      <c r="C42" s="3" t="s">
        <v>238</v>
      </c>
      <c r="D42" s="3" t="s">
        <v>239</v>
      </c>
      <c r="E42" s="3" t="s">
        <v>240</v>
      </c>
      <c r="F42" s="3" t="s">
        <v>33</v>
      </c>
      <c r="G42" s="3" t="s">
        <v>58</v>
      </c>
      <c r="H42" s="5">
        <v>27457</v>
      </c>
      <c r="I42" s="6">
        <v>51</v>
      </c>
      <c r="J42" s="7">
        <v>7417</v>
      </c>
      <c r="K42" s="3" t="s">
        <v>59</v>
      </c>
      <c r="L42" s="3" t="s">
        <v>60</v>
      </c>
      <c r="M42" s="3" t="str">
        <f>IF(COUNTIF($C$2:$C$106,$C42)&gt;1,"Duplicado","Único")</f>
        <v>Único</v>
      </c>
      <c r="N42" s="3" t="str">
        <f>IFERROR(IF($F42=_xlfn.XLOOKUP($A42,'Fonte Referência'!$A$2:$A$13,'Fonte Referência'!$C$2:$C$13),"OK","Divergente"),"Não verificado")</f>
        <v>OK</v>
      </c>
      <c r="O42" s="3" t="str">
        <f>IF(ABS($I42-DATEDIF($H42,DATE(2026,8,25),"Y"))&gt;1,"Inconsistente","OK")</f>
        <v>OK</v>
      </c>
    </row>
    <row r="43" spans="1:15" x14ac:dyDescent="0.3">
      <c r="A43" s="3" t="s">
        <v>241</v>
      </c>
      <c r="B43" s="3" t="s">
        <v>62</v>
      </c>
      <c r="C43" s="3" t="s">
        <v>242</v>
      </c>
      <c r="D43" s="3" t="s">
        <v>243</v>
      </c>
      <c r="E43" s="3" t="s">
        <v>244</v>
      </c>
      <c r="F43" s="3" t="s">
        <v>20</v>
      </c>
      <c r="G43" s="3" t="s">
        <v>66</v>
      </c>
      <c r="H43" s="5">
        <v>29958</v>
      </c>
      <c r="I43" s="6">
        <v>44</v>
      </c>
      <c r="J43" s="7">
        <v>7554</v>
      </c>
      <c r="K43" s="3" t="s">
        <v>59</v>
      </c>
      <c r="L43" s="3" t="s">
        <v>67</v>
      </c>
      <c r="M43" s="3" t="str">
        <f>IF(COUNTIF($C$2:$C$106,$C43)&gt;1,"Duplicado","Único")</f>
        <v>Duplicado</v>
      </c>
      <c r="N43" s="3" t="str">
        <f>IFERROR(IF($F43=_xlfn.XLOOKUP($A43,'Fonte Referência'!$A$2:$A$13,'Fonte Referência'!$C$2:$C$13),"OK","Divergente"),"Não verificado")</f>
        <v>Não verificado</v>
      </c>
      <c r="O43" s="3" t="str">
        <f>IF(ABS($I43-DATEDIF($H43,DATE(2026,8,25),"Y"))&gt;1,"Inconsistente","OK")</f>
        <v>OK</v>
      </c>
    </row>
    <row r="44" spans="1:15" x14ac:dyDescent="0.3">
      <c r="A44" s="3" t="s">
        <v>245</v>
      </c>
      <c r="B44" s="3" t="s">
        <v>13</v>
      </c>
      <c r="C44" s="3" t="s">
        <v>246</v>
      </c>
      <c r="D44" s="3" t="s">
        <v>247</v>
      </c>
      <c r="E44" s="3" t="s">
        <v>248</v>
      </c>
      <c r="F44" s="3" t="s">
        <v>14</v>
      </c>
      <c r="G44" s="3" t="s">
        <v>71</v>
      </c>
      <c r="H44" s="5">
        <v>32669</v>
      </c>
      <c r="I44" s="6">
        <v>37</v>
      </c>
      <c r="J44" s="7">
        <v>7691</v>
      </c>
      <c r="K44" s="3" t="s">
        <v>72</v>
      </c>
      <c r="L44" s="3" t="s">
        <v>73</v>
      </c>
      <c r="M44" s="3" t="str">
        <f>IF(COUNTIF($C$2:$C$106,$C44)&gt;1,"Duplicado","Único")</f>
        <v>Único</v>
      </c>
      <c r="N44" s="3" t="str">
        <f>IFERROR(IF($F44=_xlfn.XLOOKUP($A44,'Fonte Referência'!$A$2:$A$13,'Fonte Referência'!$C$2:$C$13),"OK","Divergente"),"Não verificado")</f>
        <v>Não verificado</v>
      </c>
      <c r="O44" s="3" t="str">
        <f>IF(ABS($I44-DATEDIF($H44,DATE(2026,8,25),"Y"))&gt;1,"Inconsistente","OK")</f>
        <v>OK</v>
      </c>
    </row>
    <row r="45" spans="1:15" x14ac:dyDescent="0.3">
      <c r="A45" s="3" t="s">
        <v>249</v>
      </c>
      <c r="B45" s="3" t="s">
        <v>25</v>
      </c>
      <c r="C45" s="3" t="s">
        <v>250</v>
      </c>
      <c r="D45" s="3" t="s">
        <v>251</v>
      </c>
      <c r="E45" s="3" t="s">
        <v>252</v>
      </c>
      <c r="F45" s="3" t="s">
        <v>26</v>
      </c>
      <c r="G45" s="3" t="s">
        <v>78</v>
      </c>
      <c r="H45" s="5">
        <v>35168</v>
      </c>
      <c r="I45" s="6">
        <v>30</v>
      </c>
      <c r="J45" s="7">
        <v>7828</v>
      </c>
      <c r="K45" s="3" t="s">
        <v>79</v>
      </c>
      <c r="L45" s="3" t="s">
        <v>80</v>
      </c>
      <c r="M45" s="3" t="str">
        <f>IF(COUNTIF($C$2:$C$106,$C45)&gt;1,"Duplicado","Único")</f>
        <v>Único</v>
      </c>
      <c r="N45" s="3" t="str">
        <f>IFERROR(IF($F45=_xlfn.XLOOKUP($A45,'Fonte Referência'!$A$2:$A$13,'Fonte Referência'!$C$2:$C$13),"OK","Divergente"),"Não verificado")</f>
        <v>Não verificado</v>
      </c>
      <c r="O45" s="3" t="str">
        <f>IF(ABS($I45-DATEDIF($H45,DATE(2026,8,25),"Y"))&gt;1,"Inconsistente","OK")</f>
        <v>OK</v>
      </c>
    </row>
    <row r="46" spans="1:15" x14ac:dyDescent="0.3">
      <c r="A46" s="3" t="s">
        <v>253</v>
      </c>
      <c r="B46" s="3" t="s">
        <v>82</v>
      </c>
      <c r="C46" s="3" t="s">
        <v>254</v>
      </c>
      <c r="D46" s="3" t="s">
        <v>255</v>
      </c>
      <c r="E46" s="3" t="s">
        <v>256</v>
      </c>
      <c r="F46" s="3" t="s">
        <v>86</v>
      </c>
      <c r="G46" s="3" t="s">
        <v>87</v>
      </c>
      <c r="H46" s="5">
        <v>21232</v>
      </c>
      <c r="I46" s="6">
        <v>68</v>
      </c>
      <c r="J46" s="7">
        <v>7965</v>
      </c>
      <c r="K46" s="3" t="s">
        <v>59</v>
      </c>
      <c r="L46" s="3" t="s">
        <v>88</v>
      </c>
      <c r="M46" s="3" t="str">
        <f>IF(COUNTIF($C$2:$C$106,$C46)&gt;1,"Duplicado","Único")</f>
        <v>Único</v>
      </c>
      <c r="N46" s="3" t="str">
        <f>IFERROR(IF($F46=_xlfn.XLOOKUP($A46,'Fonte Referência'!$A$2:$A$13,'Fonte Referência'!$C$2:$C$13),"OK","Divergente"),"Não verificado")</f>
        <v>Não verificado</v>
      </c>
      <c r="O46" s="3" t="str">
        <f>IF(ABS($I46-DATEDIF($H46,DATE(2026,8,25),"Y"))&gt;1,"Inconsistente","OK")</f>
        <v>OK</v>
      </c>
    </row>
    <row r="47" spans="1:15" x14ac:dyDescent="0.3">
      <c r="A47" s="3" t="s">
        <v>257</v>
      </c>
      <c r="B47" s="3" t="s">
        <v>90</v>
      </c>
      <c r="C47" s="3" t="s">
        <v>258</v>
      </c>
      <c r="D47" s="3" t="s">
        <v>259</v>
      </c>
      <c r="E47" s="3" t="s">
        <v>260</v>
      </c>
      <c r="F47" s="3" t="s">
        <v>39</v>
      </c>
      <c r="G47" s="3" t="s">
        <v>94</v>
      </c>
      <c r="H47" s="5">
        <v>23942</v>
      </c>
      <c r="I47" s="6">
        <v>79</v>
      </c>
      <c r="J47" s="7">
        <v>8102</v>
      </c>
      <c r="K47" s="3" t="s">
        <v>59</v>
      </c>
      <c r="L47" s="3" t="s">
        <v>60</v>
      </c>
      <c r="M47" s="3" t="str">
        <f>IF(COUNTIF($C$2:$C$106,$C47)&gt;1,"Duplicado","Único")</f>
        <v>Único</v>
      </c>
      <c r="N47" s="3" t="str">
        <f>IFERROR(IF($F47=_xlfn.XLOOKUP($A47,'Fonte Referência'!$A$2:$A$13,'Fonte Referência'!$C$2:$C$13),"OK","Divergente"),"Não verificado")</f>
        <v>Não verificado</v>
      </c>
      <c r="O47" s="3" t="str">
        <f>IF(ABS($I47-DATEDIF($H47,DATE(2026,8,25),"Y"))&gt;1,"Inconsistente","OK")</f>
        <v>Inconsistente</v>
      </c>
    </row>
    <row r="48" spans="1:15" x14ac:dyDescent="0.3">
      <c r="A48" s="3" t="s">
        <v>261</v>
      </c>
      <c r="B48" s="3" t="s">
        <v>96</v>
      </c>
      <c r="C48" s="3" t="s">
        <v>262</v>
      </c>
      <c r="D48" s="3" t="s">
        <v>263</v>
      </c>
      <c r="E48" s="3" t="s">
        <v>264</v>
      </c>
      <c r="F48" s="3" t="s">
        <v>17</v>
      </c>
      <c r="G48" s="3" t="s">
        <v>100</v>
      </c>
      <c r="H48" s="5">
        <v>26421</v>
      </c>
      <c r="I48" s="6">
        <v>54</v>
      </c>
      <c r="J48" s="7">
        <v>8239</v>
      </c>
      <c r="K48" s="3" t="s">
        <v>59</v>
      </c>
      <c r="L48" s="3" t="s">
        <v>67</v>
      </c>
      <c r="M48" s="3" t="str">
        <f>IF(COUNTIF($C$2:$C$106,$C48)&gt;1,"Duplicado","Único")</f>
        <v>Único</v>
      </c>
      <c r="N48" s="3" t="str">
        <f>IFERROR(IF($F48=_xlfn.XLOOKUP($A48,'Fonte Referência'!$A$2:$A$13,'Fonte Referência'!$C$2:$C$13),"OK","Divergente"),"Não verificado")</f>
        <v>Não verificado</v>
      </c>
      <c r="O48" s="3" t="str">
        <f>IF(ABS($I48-DATEDIF($H48,DATE(2026,8,25),"Y"))&gt;1,"Inconsistente","OK")</f>
        <v>OK</v>
      </c>
    </row>
    <row r="49" spans="1:15" x14ac:dyDescent="0.3">
      <c r="A49" s="3" t="s">
        <v>265</v>
      </c>
      <c r="B49" s="3" t="s">
        <v>22</v>
      </c>
      <c r="C49" s="3" t="s">
        <v>266</v>
      </c>
      <c r="D49" s="3" t="s">
        <v>267</v>
      </c>
      <c r="E49" s="3" t="s">
        <v>268</v>
      </c>
      <c r="F49" s="3" t="s">
        <v>23</v>
      </c>
      <c r="G49" s="3" t="s">
        <v>105</v>
      </c>
      <c r="H49" s="5">
        <v>28919</v>
      </c>
      <c r="I49" s="6">
        <v>47</v>
      </c>
      <c r="J49" s="7">
        <v>8376</v>
      </c>
      <c r="K49" s="3" t="s">
        <v>72</v>
      </c>
      <c r="L49" s="3" t="s">
        <v>73</v>
      </c>
      <c r="M49" s="3" t="str">
        <f>IF(COUNTIF($C$2:$C$106,$C49)&gt;1,"Duplicado","Único")</f>
        <v>Único</v>
      </c>
      <c r="N49" s="3" t="str">
        <f>IFERROR(IF($F49=_xlfn.XLOOKUP($A49,'Fonte Referência'!$A$2:$A$13,'Fonte Referência'!$C$2:$C$13),"OK","Divergente"),"Não verificado")</f>
        <v>Não verificado</v>
      </c>
      <c r="O49" s="3" t="str">
        <f>IF(ABS($I49-DATEDIF($H49,DATE(2026,8,25),"Y"))&gt;1,"Inconsistente","OK")</f>
        <v>OK</v>
      </c>
    </row>
    <row r="50" spans="1:15" x14ac:dyDescent="0.3">
      <c r="A50" s="3" t="s">
        <v>269</v>
      </c>
      <c r="B50" s="3" t="s">
        <v>107</v>
      </c>
      <c r="C50" s="3" t="s">
        <v>270</v>
      </c>
      <c r="D50" s="3" t="s">
        <v>271</v>
      </c>
      <c r="E50" s="3" t="s">
        <v>272</v>
      </c>
      <c r="F50" s="3" t="s">
        <v>36</v>
      </c>
      <c r="G50" s="3" t="s">
        <v>111</v>
      </c>
      <c r="H50" s="5">
        <v>31420</v>
      </c>
      <c r="I50" s="6">
        <v>40</v>
      </c>
      <c r="J50" s="7">
        <v>8513</v>
      </c>
      <c r="K50" s="3" t="s">
        <v>79</v>
      </c>
      <c r="L50" s="3" t="s">
        <v>80</v>
      </c>
      <c r="M50" s="3" t="str">
        <f>IF(COUNTIF($C$2:$C$106,$C50)&gt;1,"Duplicado","Único")</f>
        <v>Único</v>
      </c>
      <c r="N50" s="3" t="str">
        <f>IFERROR(IF($F50=_xlfn.XLOOKUP($A50,'Fonte Referência'!$A$2:$A$13,'Fonte Referência'!$C$2:$C$13),"OK","Divergente"),"Não verificado")</f>
        <v>Não verificado</v>
      </c>
      <c r="O50" s="3" t="str">
        <f>IF(ABS($I50-DATEDIF($H50,DATE(2026,8,25),"Y"))&gt;1,"Inconsistente","OK")</f>
        <v>OK</v>
      </c>
    </row>
    <row r="51" spans="1:15" x14ac:dyDescent="0.3">
      <c r="A51" s="3" t="s">
        <v>273</v>
      </c>
      <c r="B51" s="3" t="s">
        <v>9</v>
      </c>
      <c r="C51" s="3" t="s">
        <v>274</v>
      </c>
      <c r="D51" s="3" t="s">
        <v>275</v>
      </c>
      <c r="E51" s="3" t="s">
        <v>276</v>
      </c>
      <c r="F51" s="3" t="s">
        <v>10</v>
      </c>
      <c r="G51" s="3" t="s">
        <v>159</v>
      </c>
      <c r="H51" s="5">
        <v>34131</v>
      </c>
      <c r="I51" s="6">
        <v>33</v>
      </c>
      <c r="J51" s="7">
        <v>8650</v>
      </c>
      <c r="K51" s="3" t="s">
        <v>59</v>
      </c>
      <c r="L51" s="3" t="s">
        <v>88</v>
      </c>
      <c r="M51" s="3" t="str">
        <f>IF(COUNTIF($C$2:$C$106,$C51)&gt;1,"Duplicado","Único")</f>
        <v>Único</v>
      </c>
      <c r="N51" s="3" t="str">
        <f>IFERROR(IF($F51=_xlfn.XLOOKUP($A51,'Fonte Referência'!$A$2:$A$13,'Fonte Referência'!$C$2:$C$13),"OK","Divergente"),"Não verificado")</f>
        <v>Não verificado</v>
      </c>
      <c r="O51" s="3" t="str">
        <f>IF(ABS($I51-DATEDIF($H51,DATE(2026,8,25),"Y"))&gt;1,"Inconsistente","OK")</f>
        <v>OK</v>
      </c>
    </row>
    <row r="52" spans="1:15" x14ac:dyDescent="0.3">
      <c r="A52" s="3" t="s">
        <v>277</v>
      </c>
      <c r="B52" s="3" t="s">
        <v>116</v>
      </c>
      <c r="C52" s="3" t="s">
        <v>278</v>
      </c>
      <c r="D52" s="3" t="s">
        <v>279</v>
      </c>
      <c r="E52" s="3" t="s">
        <v>280</v>
      </c>
      <c r="F52" s="3" t="s">
        <v>33</v>
      </c>
      <c r="G52" s="3" t="s">
        <v>58</v>
      </c>
      <c r="H52" s="5">
        <v>36630</v>
      </c>
      <c r="I52" s="6">
        <v>26</v>
      </c>
      <c r="J52" s="7">
        <v>8787</v>
      </c>
      <c r="K52" s="3" t="s">
        <v>59</v>
      </c>
      <c r="L52" s="3" t="s">
        <v>60</v>
      </c>
      <c r="M52" s="3" t="str">
        <f>IF(COUNTIF($C$2:$C$106,$C52)&gt;1,"Duplicado","Único")</f>
        <v>Único</v>
      </c>
      <c r="N52" s="3" t="str">
        <f>IFERROR(IF($F52=_xlfn.XLOOKUP($A52,'Fonte Referência'!$A$2:$A$13,'Fonte Referência'!$C$2:$C$13),"OK","Divergente"),"Não verificado")</f>
        <v>Não verificado</v>
      </c>
      <c r="O52" s="3" t="str">
        <f>IF(ABS($I52-DATEDIF($H52,DATE(2026,8,25),"Y"))&gt;1,"Inconsistente","OK")</f>
        <v>OK</v>
      </c>
    </row>
    <row r="53" spans="1:15" x14ac:dyDescent="0.3">
      <c r="A53" s="3" t="s">
        <v>18</v>
      </c>
      <c r="B53" s="3" t="s">
        <v>19</v>
      </c>
      <c r="C53" s="3" t="s">
        <v>281</v>
      </c>
      <c r="D53" s="3" t="s">
        <v>282</v>
      </c>
      <c r="E53" s="3" t="s">
        <v>283</v>
      </c>
      <c r="F53" s="18" t="s">
        <v>14</v>
      </c>
      <c r="G53" s="3" t="s">
        <v>71</v>
      </c>
      <c r="H53" s="5">
        <v>22694</v>
      </c>
      <c r="I53" s="6">
        <v>64</v>
      </c>
      <c r="J53" s="7">
        <v>8924</v>
      </c>
      <c r="K53" s="3" t="s">
        <v>59</v>
      </c>
      <c r="L53" s="3" t="s">
        <v>67</v>
      </c>
      <c r="M53" s="3" t="str">
        <f>IF(COUNTIF($C$2:$C$106,$C53)&gt;1,"Duplicado","Único")</f>
        <v>Único</v>
      </c>
      <c r="N53" s="3" t="str">
        <f>IFERROR(IF($F53=_xlfn.XLOOKUP($A53,'Fonte Referência'!$A$2:$A$13,'Fonte Referência'!$C$2:$C$13),"OK","Divergente"),"Não verificado")</f>
        <v>Divergente</v>
      </c>
      <c r="O53" s="3" t="str">
        <f>IF(ABS($I53-DATEDIF($H53,DATE(2026,8,25),"Y"))&gt;1,"Inconsistente","OK")</f>
        <v>OK</v>
      </c>
    </row>
    <row r="54" spans="1:15" x14ac:dyDescent="0.3">
      <c r="A54" s="3" t="s">
        <v>284</v>
      </c>
      <c r="B54" s="3" t="s">
        <v>125</v>
      </c>
      <c r="C54" s="3" t="s">
        <v>285</v>
      </c>
      <c r="D54" s="3" t="s">
        <v>286</v>
      </c>
      <c r="E54" s="3" t="s">
        <v>287</v>
      </c>
      <c r="F54" s="3" t="s">
        <v>14</v>
      </c>
      <c r="G54" s="3" t="s">
        <v>71</v>
      </c>
      <c r="H54" s="5">
        <v>25404</v>
      </c>
      <c r="I54" s="6">
        <v>57</v>
      </c>
      <c r="J54" s="7">
        <v>9061</v>
      </c>
      <c r="K54" s="3" t="s">
        <v>72</v>
      </c>
      <c r="L54" s="3" t="s">
        <v>73</v>
      </c>
      <c r="M54" s="3" t="str">
        <f>IF(COUNTIF($C$2:$C$106,$C54)&gt;1,"Duplicado","Único")</f>
        <v>Único</v>
      </c>
      <c r="N54" s="3" t="str">
        <f>IFERROR(IF($F54=_xlfn.XLOOKUP($A54,'Fonte Referência'!$A$2:$A$13,'Fonte Referência'!$C$2:$C$13),"OK","Divergente"),"Não verificado")</f>
        <v>Não verificado</v>
      </c>
      <c r="O54" s="3" t="str">
        <f>IF(ABS($I54-DATEDIF($H54,DATE(2026,8,25),"Y"))&gt;1,"Inconsistente","OK")</f>
        <v>OK</v>
      </c>
    </row>
    <row r="55" spans="1:15" x14ac:dyDescent="0.3">
      <c r="A55" s="3" t="s">
        <v>288</v>
      </c>
      <c r="B55" s="3" t="s">
        <v>30</v>
      </c>
      <c r="C55" s="3" t="s">
        <v>289</v>
      </c>
      <c r="D55" s="3" t="s">
        <v>290</v>
      </c>
      <c r="E55" s="3" t="s">
        <v>291</v>
      </c>
      <c r="F55" s="3" t="s">
        <v>26</v>
      </c>
      <c r="G55" s="3" t="s">
        <v>78</v>
      </c>
      <c r="H55" s="5">
        <v>27883</v>
      </c>
      <c r="I55" s="6">
        <v>50</v>
      </c>
      <c r="J55" s="7">
        <v>9198</v>
      </c>
      <c r="K55" s="3" t="s">
        <v>79</v>
      </c>
      <c r="L55" s="3" t="s">
        <v>80</v>
      </c>
      <c r="M55" s="3" t="str">
        <f>IF(COUNTIF($C$2:$C$106,$C55)&gt;1,"Duplicado","Único")</f>
        <v>Único</v>
      </c>
      <c r="N55" s="3" t="str">
        <f>IFERROR(IF($F55=_xlfn.XLOOKUP($A55,'Fonte Referência'!$A$2:$A$13,'Fonte Referência'!$C$2:$C$13),"OK","Divergente"),"Não verificado")</f>
        <v>Não verificado</v>
      </c>
      <c r="O55" s="3" t="str">
        <f>IF(ABS($I55-DATEDIF($H55,DATE(2026,8,25),"Y"))&gt;1,"Inconsistente","OK")</f>
        <v>OK</v>
      </c>
    </row>
    <row r="56" spans="1:15" x14ac:dyDescent="0.3">
      <c r="A56" s="3" t="s">
        <v>292</v>
      </c>
      <c r="B56" s="3" t="s">
        <v>133</v>
      </c>
      <c r="C56" s="3" t="s">
        <v>293</v>
      </c>
      <c r="D56" s="3" t="s">
        <v>294</v>
      </c>
      <c r="E56" s="3" t="s">
        <v>295</v>
      </c>
      <c r="F56" s="3" t="s">
        <v>86</v>
      </c>
      <c r="G56" s="3" t="s">
        <v>87</v>
      </c>
      <c r="H56" s="5">
        <v>30381</v>
      </c>
      <c r="I56" s="6">
        <v>43</v>
      </c>
      <c r="J56" s="7">
        <v>9335</v>
      </c>
      <c r="K56" s="3" t="s">
        <v>59</v>
      </c>
      <c r="L56" s="3" t="s">
        <v>88</v>
      </c>
      <c r="M56" s="3" t="str">
        <f>IF(COUNTIF($C$2:$C$106,$C56)&gt;1,"Duplicado","Único")</f>
        <v>Único</v>
      </c>
      <c r="N56" s="3" t="str">
        <f>IFERROR(IF($F56=_xlfn.XLOOKUP($A56,'Fonte Referência'!$A$2:$A$13,'Fonte Referência'!$C$2:$C$13),"OK","Divergente"),"Não verificado")</f>
        <v>Não verificado</v>
      </c>
      <c r="O56" s="3" t="str">
        <f>IF(ABS($I56-DATEDIF($H56,DATE(2026,8,25),"Y"))&gt;1,"Inconsistente","OK")</f>
        <v>OK</v>
      </c>
    </row>
    <row r="57" spans="1:15" x14ac:dyDescent="0.3">
      <c r="A57" s="3" t="s">
        <v>296</v>
      </c>
      <c r="B57" s="3" t="s">
        <v>38</v>
      </c>
      <c r="C57" s="3" t="s">
        <v>297</v>
      </c>
      <c r="D57" s="3" t="s">
        <v>298</v>
      </c>
      <c r="E57" s="3" t="s">
        <v>299</v>
      </c>
      <c r="F57" s="3" t="s">
        <v>39</v>
      </c>
      <c r="G57" s="3" t="s">
        <v>94</v>
      </c>
      <c r="H57" s="5">
        <v>32882</v>
      </c>
      <c r="I57" s="6">
        <v>36</v>
      </c>
      <c r="J57" s="7">
        <v>9472</v>
      </c>
      <c r="K57" s="3" t="s">
        <v>59</v>
      </c>
      <c r="L57" s="3" t="s">
        <v>60</v>
      </c>
      <c r="M57" s="3" t="str">
        <f>IF(COUNTIF($C$2:$C$106,$C57)&gt;1,"Duplicado","Único")</f>
        <v>Único</v>
      </c>
      <c r="N57" s="3" t="str">
        <f>IFERROR(IF($F57=_xlfn.XLOOKUP($A57,'Fonte Referência'!$A$2:$A$13,'Fonte Referência'!$C$2:$C$13),"OK","Divergente"),"Não verificado")</f>
        <v>Não verificado</v>
      </c>
      <c r="O57" s="3" t="str">
        <f>IF(ABS($I57-DATEDIF($H57,DATE(2026,8,25),"Y"))&gt;1,"Inconsistente","OK")</f>
        <v>OK</v>
      </c>
    </row>
    <row r="58" spans="1:15" x14ac:dyDescent="0.3">
      <c r="A58" s="3" t="s">
        <v>300</v>
      </c>
      <c r="B58" s="3" t="s">
        <v>16</v>
      </c>
      <c r="C58" s="3" t="s">
        <v>301</v>
      </c>
      <c r="D58" s="3" t="s">
        <v>302</v>
      </c>
      <c r="E58" s="3" t="s">
        <v>303</v>
      </c>
      <c r="F58" s="3" t="s">
        <v>17</v>
      </c>
      <c r="G58" s="3" t="s">
        <v>100</v>
      </c>
      <c r="H58" s="5">
        <v>35593</v>
      </c>
      <c r="I58" s="6">
        <v>29</v>
      </c>
      <c r="J58" s="7">
        <v>9609</v>
      </c>
      <c r="K58" s="3" t="s">
        <v>59</v>
      </c>
      <c r="L58" s="3" t="s">
        <v>67</v>
      </c>
      <c r="M58" s="3" t="str">
        <f>IF(COUNTIF($C$2:$C$106,$C58)&gt;1,"Duplicado","Único")</f>
        <v>Único</v>
      </c>
      <c r="N58" s="3" t="str">
        <f>IFERROR(IF($F58=_xlfn.XLOOKUP($A58,'Fonte Referência'!$A$2:$A$13,'Fonte Referência'!$C$2:$C$13),"OK","Divergente"),"Não verificado")</f>
        <v>Não verificado</v>
      </c>
      <c r="O58" s="3" t="str">
        <f>IF(ABS($I58-DATEDIF($H58,DATE(2026,8,25),"Y"))&gt;1,"Inconsistente","OK")</f>
        <v>OK</v>
      </c>
    </row>
    <row r="59" spans="1:15" x14ac:dyDescent="0.3">
      <c r="A59" s="3" t="s">
        <v>304</v>
      </c>
      <c r="B59" s="3" t="s">
        <v>146</v>
      </c>
      <c r="C59" s="3" t="s">
        <v>305</v>
      </c>
      <c r="D59" s="3" t="s">
        <v>306</v>
      </c>
      <c r="E59" s="3" t="s">
        <v>307</v>
      </c>
      <c r="F59" s="3" t="s">
        <v>23</v>
      </c>
      <c r="G59" s="3" t="s">
        <v>105</v>
      </c>
      <c r="H59" s="5">
        <v>21655</v>
      </c>
      <c r="I59" s="6">
        <v>67</v>
      </c>
      <c r="J59" s="7">
        <v>9746</v>
      </c>
      <c r="K59" s="3" t="s">
        <v>72</v>
      </c>
      <c r="L59" s="3" t="s">
        <v>73</v>
      </c>
      <c r="M59" s="3" t="str">
        <f>IF(COUNTIF($C$2:$C$106,$C59)&gt;1,"Duplicado","Único")</f>
        <v>Único</v>
      </c>
      <c r="N59" s="3" t="str">
        <f>IFERROR(IF($F59=_xlfn.XLOOKUP($A59,'Fonte Referência'!$A$2:$A$13,'Fonte Referência'!$C$2:$C$13),"OK","Divergente"),"Não verificado")</f>
        <v>Não verificado</v>
      </c>
      <c r="O59" s="3" t="str">
        <f>IF(ABS($I59-DATEDIF($H59,DATE(2026,8,25),"Y"))&gt;1,"Inconsistente","OK")</f>
        <v>OK</v>
      </c>
    </row>
    <row r="60" spans="1:15" x14ac:dyDescent="0.3">
      <c r="A60" s="3" t="s">
        <v>34</v>
      </c>
      <c r="B60" s="3" t="s">
        <v>35</v>
      </c>
      <c r="C60" s="3" t="s">
        <v>308</v>
      </c>
      <c r="D60" s="3" t="s">
        <v>309</v>
      </c>
      <c r="E60" s="3" t="s">
        <v>310</v>
      </c>
      <c r="F60" s="3" t="s">
        <v>36</v>
      </c>
      <c r="G60" s="3" t="s">
        <v>111</v>
      </c>
      <c r="H60" s="5">
        <v>24156</v>
      </c>
      <c r="I60" s="6">
        <v>60</v>
      </c>
      <c r="J60" s="7">
        <v>9883</v>
      </c>
      <c r="K60" s="3" t="s">
        <v>79</v>
      </c>
      <c r="L60" s="3" t="s">
        <v>80</v>
      </c>
      <c r="M60" s="3" t="str">
        <f>IF(COUNTIF($C$2:$C$106,$C60)&gt;1,"Duplicado","Único")</f>
        <v>Único</v>
      </c>
      <c r="N60" s="3" t="str">
        <f>IFERROR(IF($F60=_xlfn.XLOOKUP($A60,'Fonte Referência'!$A$2:$A$13,'Fonte Referência'!$C$2:$C$13),"OK","Divergente"),"Não verificado")</f>
        <v>OK</v>
      </c>
      <c r="O60" s="3" t="str">
        <f>IF(ABS($I60-DATEDIF($H60,DATE(2026,8,25),"Y"))&gt;1,"Inconsistente","OK")</f>
        <v>OK</v>
      </c>
    </row>
    <row r="61" spans="1:15" x14ac:dyDescent="0.3">
      <c r="A61" s="3" t="s">
        <v>311</v>
      </c>
      <c r="B61" s="3" t="s">
        <v>155</v>
      </c>
      <c r="C61" s="3" t="s">
        <v>312</v>
      </c>
      <c r="D61" s="3" t="s">
        <v>313</v>
      </c>
      <c r="E61" s="3" t="s">
        <v>314</v>
      </c>
      <c r="F61" s="3" t="s">
        <v>10</v>
      </c>
      <c r="G61" s="3" t="s">
        <v>159</v>
      </c>
      <c r="H61" s="5">
        <v>26846</v>
      </c>
      <c r="I61" s="6">
        <v>53</v>
      </c>
      <c r="J61" s="7">
        <v>10020</v>
      </c>
      <c r="K61" s="3" t="s">
        <v>59</v>
      </c>
      <c r="L61" s="3" t="s">
        <v>88</v>
      </c>
      <c r="M61" s="3" t="str">
        <f>IF(COUNTIF($C$2:$C$106,$C61)&gt;1,"Duplicado","Único")</f>
        <v>Único</v>
      </c>
      <c r="N61" s="3" t="str">
        <f>IFERROR(IF($F61=_xlfn.XLOOKUP($A61,'Fonte Referência'!$A$2:$A$13,'Fonte Referência'!$C$2:$C$13),"OK","Divergente"),"Não verificado")</f>
        <v>Não verificado</v>
      </c>
      <c r="O61" s="3" t="str">
        <f>IF(ABS($I61-DATEDIF($H61,DATE(2026,8,25),"Y"))&gt;1,"Inconsistente","OK")</f>
        <v>OK</v>
      </c>
    </row>
    <row r="62" spans="1:15" x14ac:dyDescent="0.3">
      <c r="A62" s="3" t="s">
        <v>315</v>
      </c>
      <c r="B62" s="3" t="s">
        <v>32</v>
      </c>
      <c r="C62" s="3" t="s">
        <v>316</v>
      </c>
      <c r="D62" s="3" t="s">
        <v>317</v>
      </c>
      <c r="E62" s="3" t="s">
        <v>318</v>
      </c>
      <c r="F62" s="3" t="s">
        <v>33</v>
      </c>
      <c r="G62" s="3" t="s">
        <v>58</v>
      </c>
      <c r="H62" s="5">
        <v>29345</v>
      </c>
      <c r="I62" s="6">
        <v>46</v>
      </c>
      <c r="J62" s="7">
        <v>10157</v>
      </c>
      <c r="K62" s="3" t="s">
        <v>59</v>
      </c>
      <c r="L62" s="3" t="s">
        <v>60</v>
      </c>
      <c r="M62" s="3" t="str">
        <f>IF(COUNTIF($C$2:$C$106,$C62)&gt;1,"Duplicado","Único")</f>
        <v>Único</v>
      </c>
      <c r="N62" s="3" t="str">
        <f>IFERROR(IF($F62=_xlfn.XLOOKUP($A62,'Fonte Referência'!$A$2:$A$13,'Fonte Referência'!$C$2:$C$13),"OK","Divergente"),"Não verificado")</f>
        <v>Não verificado</v>
      </c>
      <c r="O62" s="3" t="str">
        <f>IF(ABS($I62-DATEDIF($H62,DATE(2026,8,25),"Y"))&gt;1,"Inconsistente","OK")</f>
        <v>OK</v>
      </c>
    </row>
    <row r="63" spans="1:15" x14ac:dyDescent="0.3">
      <c r="A63" s="3" t="s">
        <v>319</v>
      </c>
      <c r="B63" s="3" t="s">
        <v>62</v>
      </c>
      <c r="C63" s="3" t="s">
        <v>320</v>
      </c>
      <c r="D63" s="3" t="s">
        <v>321</v>
      </c>
      <c r="E63" s="3" t="s">
        <v>322</v>
      </c>
      <c r="F63" s="3" t="s">
        <v>20</v>
      </c>
      <c r="G63" s="3" t="s">
        <v>66</v>
      </c>
      <c r="H63" s="5">
        <v>31843</v>
      </c>
      <c r="I63" s="6">
        <v>39</v>
      </c>
      <c r="J63" s="7">
        <v>10294</v>
      </c>
      <c r="K63" s="3" t="s">
        <v>59</v>
      </c>
      <c r="L63" s="3" t="s">
        <v>67</v>
      </c>
      <c r="M63" s="3" t="str">
        <f>IF(COUNTIF($C$2:$C$106,$C63)&gt;1,"Duplicado","Único")</f>
        <v>Único</v>
      </c>
      <c r="N63" s="3" t="str">
        <f>IFERROR(IF($F63=_xlfn.XLOOKUP($A63,'Fonte Referência'!$A$2:$A$13,'Fonte Referência'!$C$2:$C$13),"OK","Divergente"),"Não verificado")</f>
        <v>Não verificado</v>
      </c>
      <c r="O63" s="3" t="str">
        <f>IF(ABS($I63-DATEDIF($H63,DATE(2026,8,25),"Y"))&gt;1,"Inconsistente","OK")</f>
        <v>OK</v>
      </c>
    </row>
    <row r="64" spans="1:15" x14ac:dyDescent="0.3">
      <c r="A64" s="3" t="s">
        <v>323</v>
      </c>
      <c r="B64" s="3" t="s">
        <v>13</v>
      </c>
      <c r="C64" s="3" t="s">
        <v>324</v>
      </c>
      <c r="D64" s="3" t="s">
        <v>325</v>
      </c>
      <c r="E64" s="3" t="s">
        <v>326</v>
      </c>
      <c r="F64" s="3" t="s">
        <v>14</v>
      </c>
      <c r="G64" s="3" t="s">
        <v>71</v>
      </c>
      <c r="H64" s="5">
        <v>34344</v>
      </c>
      <c r="I64" s="6">
        <v>20</v>
      </c>
      <c r="J64" s="7">
        <v>10431</v>
      </c>
      <c r="K64" s="3" t="s">
        <v>72</v>
      </c>
      <c r="L64" s="3" t="s">
        <v>73</v>
      </c>
      <c r="M64" s="3" t="str">
        <f>IF(COUNTIF($C$2:$C$106,$C64)&gt;1,"Duplicado","Único")</f>
        <v>Único</v>
      </c>
      <c r="N64" s="3" t="str">
        <f>IFERROR(IF($F64=_xlfn.XLOOKUP($A64,'Fonte Referência'!$A$2:$A$13,'Fonte Referência'!$C$2:$C$13),"OK","Divergente"),"Não verificado")</f>
        <v>Não verificado</v>
      </c>
      <c r="O64" s="3" t="str">
        <f>IF(ABS($I64-DATEDIF($H64,DATE(2026,8,25),"Y"))&gt;1,"Inconsistente","OK")</f>
        <v>Inconsistente</v>
      </c>
    </row>
    <row r="65" spans="1:15" x14ac:dyDescent="0.3">
      <c r="A65" s="3" t="s">
        <v>327</v>
      </c>
      <c r="B65" s="3" t="s">
        <v>25</v>
      </c>
      <c r="C65" s="3" t="s">
        <v>328</v>
      </c>
      <c r="D65" s="3" t="s">
        <v>329</v>
      </c>
      <c r="E65" s="3" t="s">
        <v>330</v>
      </c>
      <c r="F65" s="3" t="s">
        <v>26</v>
      </c>
      <c r="G65" s="3" t="s">
        <v>78</v>
      </c>
      <c r="H65" s="5">
        <v>37055</v>
      </c>
      <c r="I65" s="6">
        <v>25</v>
      </c>
      <c r="J65" s="7">
        <v>10568</v>
      </c>
      <c r="K65" s="3" t="s">
        <v>79</v>
      </c>
      <c r="L65" s="3" t="s">
        <v>80</v>
      </c>
      <c r="M65" s="3" t="str">
        <f>IF(COUNTIF($C$2:$C$106,$C65)&gt;1,"Duplicado","Único")</f>
        <v>Único</v>
      </c>
      <c r="N65" s="3" t="str">
        <f>IFERROR(IF($F65=_xlfn.XLOOKUP($A65,'Fonte Referência'!$A$2:$A$13,'Fonte Referência'!$C$2:$C$13),"OK","Divergente"),"Não verificado")</f>
        <v>Não verificado</v>
      </c>
      <c r="O65" s="3" t="str">
        <f>IF(ABS($I65-DATEDIF($H65,DATE(2026,8,25),"Y"))&gt;1,"Inconsistente","OK")</f>
        <v>OK</v>
      </c>
    </row>
    <row r="66" spans="1:15" x14ac:dyDescent="0.3">
      <c r="A66" s="3" t="s">
        <v>331</v>
      </c>
      <c r="B66" s="3" t="s">
        <v>82</v>
      </c>
      <c r="C66" s="3" t="s">
        <v>332</v>
      </c>
      <c r="D66" s="3" t="s">
        <v>333</v>
      </c>
      <c r="E66" s="3" t="s">
        <v>334</v>
      </c>
      <c r="F66" s="3" t="s">
        <v>86</v>
      </c>
      <c r="G66" s="3" t="s">
        <v>87</v>
      </c>
      <c r="H66" s="5">
        <v>23117</v>
      </c>
      <c r="I66" s="6">
        <v>63</v>
      </c>
      <c r="J66" s="7">
        <v>10705</v>
      </c>
      <c r="K66" s="3" t="s">
        <v>59</v>
      </c>
      <c r="L66" s="3" t="s">
        <v>88</v>
      </c>
      <c r="M66" s="3" t="str">
        <f>IF(COUNTIF($C$2:$C$106,$C66)&gt;1,"Duplicado","Único")</f>
        <v>Único</v>
      </c>
      <c r="N66" s="3" t="str">
        <f>IFERROR(IF($F66=_xlfn.XLOOKUP($A66,'Fonte Referência'!$A$2:$A$13,'Fonte Referência'!$C$2:$C$13),"OK","Divergente"),"Não verificado")</f>
        <v>Não verificado</v>
      </c>
      <c r="O66" s="3" t="str">
        <f>IF(ABS($I66-DATEDIF($H66,DATE(2026,8,25),"Y"))&gt;1,"Inconsistente","OK")</f>
        <v>OK</v>
      </c>
    </row>
    <row r="67" spans="1:15" x14ac:dyDescent="0.3">
      <c r="A67" s="3" t="s">
        <v>335</v>
      </c>
      <c r="B67" s="3" t="s">
        <v>90</v>
      </c>
      <c r="C67" s="3" t="s">
        <v>336</v>
      </c>
      <c r="D67" s="3" t="s">
        <v>337</v>
      </c>
      <c r="E67" s="3" t="s">
        <v>338</v>
      </c>
      <c r="F67" s="3" t="s">
        <v>39</v>
      </c>
      <c r="G67" s="3" t="s">
        <v>94</v>
      </c>
      <c r="H67" s="5">
        <v>25618</v>
      </c>
      <c r="I67" s="6">
        <v>56</v>
      </c>
      <c r="J67" s="7">
        <v>10842</v>
      </c>
      <c r="K67" s="3" t="s">
        <v>59</v>
      </c>
      <c r="L67" s="3" t="s">
        <v>60</v>
      </c>
      <c r="M67" s="3" t="str">
        <f>IF(COUNTIF($C$2:$C$106,$C67)&gt;1,"Duplicado","Único")</f>
        <v>Único</v>
      </c>
      <c r="N67" s="3" t="str">
        <f>IFERROR(IF($F67=_xlfn.XLOOKUP($A67,'Fonte Referência'!$A$2:$A$13,'Fonte Referência'!$C$2:$C$13),"OK","Divergente"),"Não verificado")</f>
        <v>Não verificado</v>
      </c>
      <c r="O67" s="3" t="str">
        <f>IF(ABS($I67-DATEDIF($H67,DATE(2026,8,25),"Y"))&gt;1,"Inconsistente","OK")</f>
        <v>OK</v>
      </c>
    </row>
    <row r="68" spans="1:15" x14ac:dyDescent="0.3">
      <c r="A68" s="3" t="s">
        <v>339</v>
      </c>
      <c r="B68" s="3" t="s">
        <v>96</v>
      </c>
      <c r="C68" s="3" t="s">
        <v>340</v>
      </c>
      <c r="D68" s="3" t="s">
        <v>341</v>
      </c>
      <c r="E68" s="3" t="s">
        <v>342</v>
      </c>
      <c r="F68" s="3" t="s">
        <v>17</v>
      </c>
      <c r="G68" s="3" t="s">
        <v>100</v>
      </c>
      <c r="H68" s="5">
        <v>28308</v>
      </c>
      <c r="I68" s="6">
        <v>49</v>
      </c>
      <c r="J68" s="7">
        <v>10979</v>
      </c>
      <c r="K68" s="3" t="s">
        <v>59</v>
      </c>
      <c r="L68" s="3" t="s">
        <v>67</v>
      </c>
      <c r="M68" s="3" t="str">
        <f>IF(COUNTIF($C$2:$C$106,$C68)&gt;1,"Duplicado","Único")</f>
        <v>Único</v>
      </c>
      <c r="N68" s="3" t="str">
        <f>IFERROR(IF($F68=_xlfn.XLOOKUP($A68,'Fonte Referência'!$A$2:$A$13,'Fonte Referência'!$C$2:$C$13),"OK","Divergente"),"Não verificado")</f>
        <v>Não verificado</v>
      </c>
      <c r="O68" s="3" t="str">
        <f>IF(ABS($I68-DATEDIF($H68,DATE(2026,8,25),"Y"))&gt;1,"Inconsistente","OK")</f>
        <v>OK</v>
      </c>
    </row>
    <row r="69" spans="1:15" x14ac:dyDescent="0.3">
      <c r="A69" s="3" t="s">
        <v>21</v>
      </c>
      <c r="B69" s="3" t="s">
        <v>22</v>
      </c>
      <c r="C69" s="3" t="s">
        <v>343</v>
      </c>
      <c r="D69" s="3" t="s">
        <v>344</v>
      </c>
      <c r="E69" s="3" t="s">
        <v>345</v>
      </c>
      <c r="F69" s="18" t="s">
        <v>36</v>
      </c>
      <c r="G69" s="3" t="s">
        <v>111</v>
      </c>
      <c r="H69" s="5">
        <v>30807</v>
      </c>
      <c r="I69" s="6">
        <v>42</v>
      </c>
      <c r="J69" s="7">
        <v>11116</v>
      </c>
      <c r="K69" s="3" t="s">
        <v>72</v>
      </c>
      <c r="L69" s="3" t="s">
        <v>73</v>
      </c>
      <c r="M69" s="3" t="str">
        <f>IF(COUNTIF($C$2:$C$106,$C69)&gt;1,"Duplicado","Único")</f>
        <v>Único</v>
      </c>
      <c r="N69" s="3" t="str">
        <f>IFERROR(IF($F69=_xlfn.XLOOKUP($A69,'Fonte Referência'!$A$2:$A$13,'Fonte Referência'!$C$2:$C$13),"OK","Divergente"),"Não verificado")</f>
        <v>Divergente</v>
      </c>
      <c r="O69" s="3" t="str">
        <f>IF(ABS($I69-DATEDIF($H69,DATE(2026,8,25),"Y"))&gt;1,"Inconsistente","OK")</f>
        <v>OK</v>
      </c>
    </row>
    <row r="70" spans="1:15" x14ac:dyDescent="0.3">
      <c r="A70" s="3" t="s">
        <v>346</v>
      </c>
      <c r="B70" s="3" t="s">
        <v>107</v>
      </c>
      <c r="C70" s="3" t="s">
        <v>347</v>
      </c>
      <c r="D70" s="3" t="s">
        <v>348</v>
      </c>
      <c r="E70" s="3" t="s">
        <v>349</v>
      </c>
      <c r="F70" s="3" t="s">
        <v>36</v>
      </c>
      <c r="G70" s="3" t="s">
        <v>111</v>
      </c>
      <c r="H70" s="5">
        <v>33305</v>
      </c>
      <c r="I70" s="6">
        <v>35</v>
      </c>
      <c r="J70" s="7">
        <v>11253</v>
      </c>
      <c r="K70" s="3" t="s">
        <v>79</v>
      </c>
      <c r="L70" s="3" t="s">
        <v>80</v>
      </c>
      <c r="M70" s="3" t="str">
        <f>IF(COUNTIF($C$2:$C$106,$C70)&gt;1,"Duplicado","Único")</f>
        <v>Único</v>
      </c>
      <c r="N70" s="3" t="str">
        <f>IFERROR(IF($F70=_xlfn.XLOOKUP($A70,'Fonte Referência'!$A$2:$A$13,'Fonte Referência'!$C$2:$C$13),"OK","Divergente"),"Não verificado")</f>
        <v>Não verificado</v>
      </c>
      <c r="O70" s="3" t="str">
        <f>IF(ABS($I70-DATEDIF($H70,DATE(2026,8,25),"Y"))&gt;1,"Inconsistente","OK")</f>
        <v>OK</v>
      </c>
    </row>
    <row r="71" spans="1:15" x14ac:dyDescent="0.3">
      <c r="A71" s="3" t="s">
        <v>350</v>
      </c>
      <c r="B71" s="3" t="s">
        <v>9</v>
      </c>
      <c r="C71" s="3" t="s">
        <v>351</v>
      </c>
      <c r="D71" s="3" t="s">
        <v>352</v>
      </c>
      <c r="E71" s="3" t="s">
        <v>353</v>
      </c>
      <c r="F71" s="3" t="s">
        <v>10</v>
      </c>
      <c r="G71" s="3" t="s">
        <v>159</v>
      </c>
      <c r="H71" s="5">
        <v>35806</v>
      </c>
      <c r="I71" s="6">
        <v>28</v>
      </c>
      <c r="J71" s="7">
        <v>11390</v>
      </c>
      <c r="K71" s="3" t="s">
        <v>59</v>
      </c>
      <c r="L71" s="3" t="s">
        <v>88</v>
      </c>
      <c r="M71" s="3" t="str">
        <f>IF(COUNTIF($C$2:$C$106,$C71)&gt;1,"Duplicado","Único")</f>
        <v>Único</v>
      </c>
      <c r="N71" s="3" t="str">
        <f>IFERROR(IF($F71=_xlfn.XLOOKUP($A71,'Fonte Referência'!$A$2:$A$13,'Fonte Referência'!$C$2:$C$13),"OK","Divergente"),"Não verificado")</f>
        <v>Não verificado</v>
      </c>
      <c r="O71" s="3" t="str">
        <f>IF(ABS($I71-DATEDIF($H71,DATE(2026,8,25),"Y"))&gt;1,"Inconsistente","OK")</f>
        <v>OK</v>
      </c>
    </row>
    <row r="72" spans="1:15" x14ac:dyDescent="0.3">
      <c r="A72" s="3" t="s">
        <v>354</v>
      </c>
      <c r="B72" s="3" t="s">
        <v>116</v>
      </c>
      <c r="C72" s="3" t="s">
        <v>355</v>
      </c>
      <c r="D72" s="3" t="s">
        <v>356</v>
      </c>
      <c r="E72" s="3" t="s">
        <v>357</v>
      </c>
      <c r="F72" s="3" t="s">
        <v>33</v>
      </c>
      <c r="G72" s="3" t="s">
        <v>58</v>
      </c>
      <c r="H72" s="5">
        <v>22081</v>
      </c>
      <c r="I72" s="6">
        <v>66</v>
      </c>
      <c r="J72" s="7">
        <v>11527</v>
      </c>
      <c r="K72" s="3" t="s">
        <v>59</v>
      </c>
      <c r="L72" s="3" t="s">
        <v>60</v>
      </c>
      <c r="M72" s="3" t="str">
        <f>IF(COUNTIF($C$2:$C$106,$C72)&gt;1,"Duplicado","Único")</f>
        <v>Duplicado</v>
      </c>
      <c r="N72" s="3" t="str">
        <f>IFERROR(IF($F72=_xlfn.XLOOKUP($A72,'Fonte Referência'!$A$2:$A$13,'Fonte Referência'!$C$2:$C$13),"OK","Divergente"),"Não verificado")</f>
        <v>Não verificado</v>
      </c>
      <c r="O72" s="3" t="str">
        <f>IF(ABS($I72-DATEDIF($H72,DATE(2026,8,25),"Y"))&gt;1,"Inconsistente","OK")</f>
        <v>OK</v>
      </c>
    </row>
    <row r="73" spans="1:15" x14ac:dyDescent="0.3">
      <c r="A73" s="3" t="s">
        <v>358</v>
      </c>
      <c r="B73" s="3" t="s">
        <v>19</v>
      </c>
      <c r="C73" s="3" t="s">
        <v>359</v>
      </c>
      <c r="D73" s="3" t="s">
        <v>360</v>
      </c>
      <c r="E73" s="3" t="s">
        <v>361</v>
      </c>
      <c r="F73" s="3" t="s">
        <v>20</v>
      </c>
      <c r="G73" s="3" t="s">
        <v>66</v>
      </c>
      <c r="H73" s="5">
        <v>24579</v>
      </c>
      <c r="I73" s="6">
        <v>59</v>
      </c>
      <c r="J73" s="7">
        <v>11664</v>
      </c>
      <c r="K73" s="3" t="s">
        <v>59</v>
      </c>
      <c r="L73" s="3" t="s">
        <v>67</v>
      </c>
      <c r="M73" s="3" t="str">
        <f>IF(COUNTIF($C$2:$C$106,$C73)&gt;1,"Duplicado","Único")</f>
        <v>Único</v>
      </c>
      <c r="N73" s="3" t="str">
        <f>IFERROR(IF($F73=_xlfn.XLOOKUP($A73,'Fonte Referência'!$A$2:$A$13,'Fonte Referência'!$C$2:$C$13),"OK","Divergente"),"Não verificado")</f>
        <v>Não verificado</v>
      </c>
      <c r="O73" s="3" t="str">
        <f>IF(ABS($I73-DATEDIF($H73,DATE(2026,8,25),"Y"))&gt;1,"Inconsistente","OK")</f>
        <v>OK</v>
      </c>
    </row>
    <row r="74" spans="1:15" x14ac:dyDescent="0.3">
      <c r="A74" s="3" t="s">
        <v>362</v>
      </c>
      <c r="B74" s="3" t="s">
        <v>125</v>
      </c>
      <c r="C74" s="3" t="s">
        <v>363</v>
      </c>
      <c r="D74" s="3" t="s">
        <v>364</v>
      </c>
      <c r="E74" s="3" t="s">
        <v>365</v>
      </c>
      <c r="F74" s="3" t="s">
        <v>14</v>
      </c>
      <c r="G74" s="3" t="s">
        <v>71</v>
      </c>
      <c r="H74" s="5">
        <v>27080</v>
      </c>
      <c r="I74" s="6">
        <v>52</v>
      </c>
      <c r="J74" s="7">
        <v>11801</v>
      </c>
      <c r="K74" s="3" t="s">
        <v>72</v>
      </c>
      <c r="L74" s="3" t="s">
        <v>73</v>
      </c>
      <c r="M74" s="3" t="str">
        <f>IF(COUNTIF($C$2:$C$106,$C74)&gt;1,"Duplicado","Único")</f>
        <v>Único</v>
      </c>
      <c r="N74" s="3" t="str">
        <f>IFERROR(IF($F74=_xlfn.XLOOKUP($A74,'Fonte Referência'!$A$2:$A$13,'Fonte Referência'!$C$2:$C$13),"OK","Divergente"),"Não verificado")</f>
        <v>Não verificado</v>
      </c>
      <c r="O74" s="3" t="str">
        <f>IF(ABS($I74-DATEDIF($H74,DATE(2026,8,25),"Y"))&gt;1,"Inconsistente","OK")</f>
        <v>OK</v>
      </c>
    </row>
    <row r="75" spans="1:15" x14ac:dyDescent="0.3">
      <c r="A75" s="3" t="s">
        <v>366</v>
      </c>
      <c r="B75" s="3" t="s">
        <v>30</v>
      </c>
      <c r="C75" s="3" t="s">
        <v>367</v>
      </c>
      <c r="D75" s="3" t="s">
        <v>368</v>
      </c>
      <c r="E75" s="3" t="s">
        <v>369</v>
      </c>
      <c r="F75" s="3" t="s">
        <v>26</v>
      </c>
      <c r="G75" s="3" t="s">
        <v>78</v>
      </c>
      <c r="H75" s="5">
        <v>29770</v>
      </c>
      <c r="I75" s="6">
        <v>45</v>
      </c>
      <c r="J75" s="7">
        <v>11938</v>
      </c>
      <c r="K75" s="3" t="s">
        <v>79</v>
      </c>
      <c r="L75" s="3" t="s">
        <v>80</v>
      </c>
      <c r="M75" s="3" t="str">
        <f>IF(COUNTIF($C$2:$C$106,$C75)&gt;1,"Duplicado","Único")</f>
        <v>Único</v>
      </c>
      <c r="N75" s="3" t="str">
        <f>IFERROR(IF($F75=_xlfn.XLOOKUP($A75,'Fonte Referência'!$A$2:$A$13,'Fonte Referência'!$C$2:$C$13),"OK","Divergente"),"Não verificado")</f>
        <v>Não verificado</v>
      </c>
      <c r="O75" s="3" t="str">
        <f>IF(ABS($I75-DATEDIF($H75,DATE(2026,8,25),"Y"))&gt;1,"Inconsistente","OK")</f>
        <v>OK</v>
      </c>
    </row>
    <row r="76" spans="1:15" x14ac:dyDescent="0.3">
      <c r="A76" s="3" t="s">
        <v>370</v>
      </c>
      <c r="B76" s="3" t="s">
        <v>133</v>
      </c>
      <c r="C76" s="3" t="s">
        <v>371</v>
      </c>
      <c r="D76" s="3" t="s">
        <v>372</v>
      </c>
      <c r="E76" s="3" t="s">
        <v>373</v>
      </c>
      <c r="F76" s="3" t="s">
        <v>86</v>
      </c>
      <c r="G76" s="3" t="s">
        <v>87</v>
      </c>
      <c r="H76" s="5">
        <v>32269</v>
      </c>
      <c r="I76" s="6">
        <v>38</v>
      </c>
      <c r="J76" s="7">
        <v>12075</v>
      </c>
      <c r="K76" s="3" t="s">
        <v>59</v>
      </c>
      <c r="L76" s="3" t="s">
        <v>88</v>
      </c>
      <c r="M76" s="3" t="str">
        <f>IF(COUNTIF($C$2:$C$106,$C76)&gt;1,"Duplicado","Único")</f>
        <v>Único</v>
      </c>
      <c r="N76" s="3" t="str">
        <f>IFERROR(IF($F76=_xlfn.XLOOKUP($A76,'Fonte Referência'!$A$2:$A$13,'Fonte Referência'!$C$2:$C$13),"OK","Divergente"),"Não verificado")</f>
        <v>Não verificado</v>
      </c>
      <c r="O76" s="3" t="str">
        <f>IF(ABS($I76-DATEDIF($H76,DATE(2026,8,25),"Y"))&gt;1,"Inconsistente","OK")</f>
        <v>OK</v>
      </c>
    </row>
    <row r="77" spans="1:15" x14ac:dyDescent="0.3">
      <c r="A77" s="3" t="s">
        <v>37</v>
      </c>
      <c r="B77" s="3" t="s">
        <v>38</v>
      </c>
      <c r="C77" s="3" t="s">
        <v>374</v>
      </c>
      <c r="D77" s="3" t="s">
        <v>375</v>
      </c>
      <c r="E77" s="3" t="s">
        <v>376</v>
      </c>
      <c r="F77" s="3" t="s">
        <v>39</v>
      </c>
      <c r="G77" s="3" t="s">
        <v>94</v>
      </c>
      <c r="H77" s="5">
        <v>34767</v>
      </c>
      <c r="I77" s="6">
        <v>31</v>
      </c>
      <c r="J77" s="7">
        <v>12212</v>
      </c>
      <c r="K77" s="3" t="s">
        <v>59</v>
      </c>
      <c r="L77" s="3" t="s">
        <v>60</v>
      </c>
      <c r="M77" s="3" t="str">
        <f>IF(COUNTIF($C$2:$C$106,$C77)&gt;1,"Duplicado","Único")</f>
        <v>Único</v>
      </c>
      <c r="N77" s="3" t="str">
        <f>IFERROR(IF($F77=_xlfn.XLOOKUP($A77,'Fonte Referência'!$A$2:$A$13,'Fonte Referência'!$C$2:$C$13),"OK","Divergente"),"Não verificado")</f>
        <v>OK</v>
      </c>
      <c r="O77" s="3" t="str">
        <f>IF(ABS($I77-DATEDIF($H77,DATE(2026,8,25),"Y"))&gt;1,"Inconsistente","OK")</f>
        <v>OK</v>
      </c>
    </row>
    <row r="78" spans="1:15" x14ac:dyDescent="0.3">
      <c r="A78" s="3" t="s">
        <v>377</v>
      </c>
      <c r="B78" s="3" t="s">
        <v>16</v>
      </c>
      <c r="C78" s="3" t="s">
        <v>378</v>
      </c>
      <c r="D78" s="3" t="s">
        <v>379</v>
      </c>
      <c r="E78" s="3" t="s">
        <v>380</v>
      </c>
      <c r="F78" s="3" t="s">
        <v>17</v>
      </c>
      <c r="G78" s="3" t="s">
        <v>100</v>
      </c>
      <c r="H78" s="5">
        <v>37268</v>
      </c>
      <c r="I78" s="6">
        <v>12</v>
      </c>
      <c r="J78" s="7">
        <v>12349</v>
      </c>
      <c r="K78" s="3" t="s">
        <v>59</v>
      </c>
      <c r="L78" s="3" t="s">
        <v>67</v>
      </c>
      <c r="M78" s="3" t="str">
        <f>IF(COUNTIF($C$2:$C$106,$C78)&gt;1,"Duplicado","Único")</f>
        <v>Único</v>
      </c>
      <c r="N78" s="3" t="str">
        <f>IFERROR(IF($F78=_xlfn.XLOOKUP($A78,'Fonte Referência'!$A$2:$A$13,'Fonte Referência'!$C$2:$C$13),"OK","Divergente"),"Não verificado")</f>
        <v>Não verificado</v>
      </c>
      <c r="O78" s="3" t="str">
        <f>IF(ABS($I78-DATEDIF($H78,DATE(2026,8,25),"Y"))&gt;1,"Inconsistente","OK")</f>
        <v>Inconsistente</v>
      </c>
    </row>
    <row r="79" spans="1:15" x14ac:dyDescent="0.3">
      <c r="A79" s="3" t="s">
        <v>381</v>
      </c>
      <c r="B79" s="3" t="s">
        <v>146</v>
      </c>
      <c r="C79" s="3" t="s">
        <v>382</v>
      </c>
      <c r="D79" s="3" t="s">
        <v>383</v>
      </c>
      <c r="E79" s="3" t="s">
        <v>384</v>
      </c>
      <c r="F79" s="3" t="s">
        <v>23</v>
      </c>
      <c r="G79" s="3" t="s">
        <v>105</v>
      </c>
      <c r="H79" s="5">
        <v>23543</v>
      </c>
      <c r="I79" s="6">
        <v>62</v>
      </c>
      <c r="J79" s="7">
        <v>12486</v>
      </c>
      <c r="K79" s="3" t="s">
        <v>72</v>
      </c>
      <c r="L79" s="3" t="s">
        <v>73</v>
      </c>
      <c r="M79" s="3" t="str">
        <f>IF(COUNTIF($C$2:$C$106,$C79)&gt;1,"Duplicado","Único")</f>
        <v>Único</v>
      </c>
      <c r="N79" s="3" t="str">
        <f>IFERROR(IF($F79=_xlfn.XLOOKUP($A79,'Fonte Referência'!$A$2:$A$13,'Fonte Referência'!$C$2:$C$13),"OK","Divergente"),"Não verificado")</f>
        <v>Não verificado</v>
      </c>
      <c r="O79" s="3" t="str">
        <f>IF(ABS($I79-DATEDIF($H79,DATE(2026,8,25),"Y"))&gt;1,"Inconsistente","OK")</f>
        <v>OK</v>
      </c>
    </row>
    <row r="80" spans="1:15" x14ac:dyDescent="0.3">
      <c r="A80" s="3" t="s">
        <v>385</v>
      </c>
      <c r="B80" s="3" t="s">
        <v>35</v>
      </c>
      <c r="C80" s="3" t="s">
        <v>386</v>
      </c>
      <c r="D80" s="3" t="s">
        <v>387</v>
      </c>
      <c r="E80" s="3" t="s">
        <v>388</v>
      </c>
      <c r="F80" s="3" t="s">
        <v>36</v>
      </c>
      <c r="G80" s="3" t="s">
        <v>111</v>
      </c>
      <c r="H80" s="5">
        <v>26041</v>
      </c>
      <c r="I80" s="6">
        <v>55</v>
      </c>
      <c r="J80" s="7">
        <v>12623</v>
      </c>
      <c r="K80" s="3" t="s">
        <v>79</v>
      </c>
      <c r="L80" s="3" t="s">
        <v>80</v>
      </c>
      <c r="M80" s="3" t="str">
        <f>IF(COUNTIF($C$2:$C$106,$C80)&gt;1,"Duplicado","Único")</f>
        <v>Único</v>
      </c>
      <c r="N80" s="3" t="str">
        <f>IFERROR(IF($F80=_xlfn.XLOOKUP($A80,'Fonte Referência'!$A$2:$A$13,'Fonte Referência'!$C$2:$C$13),"OK","Divergente"),"Não verificado")</f>
        <v>Não verificado</v>
      </c>
      <c r="O80" s="3" t="str">
        <f>IF(ABS($I80-DATEDIF($H80,DATE(2026,8,25),"Y"))&gt;1,"Inconsistente","OK")</f>
        <v>OK</v>
      </c>
    </row>
    <row r="81" spans="1:15" x14ac:dyDescent="0.3">
      <c r="A81" s="3" t="s">
        <v>389</v>
      </c>
      <c r="B81" s="3" t="s">
        <v>155</v>
      </c>
      <c r="C81" s="3" t="s">
        <v>390</v>
      </c>
      <c r="D81" s="3" t="s">
        <v>391</v>
      </c>
      <c r="E81" s="3" t="s">
        <v>392</v>
      </c>
      <c r="F81" s="3" t="s">
        <v>10</v>
      </c>
      <c r="G81" s="3" t="s">
        <v>159</v>
      </c>
      <c r="H81" s="5">
        <v>28522</v>
      </c>
      <c r="I81" s="6">
        <v>48</v>
      </c>
      <c r="J81" s="7">
        <v>12760</v>
      </c>
      <c r="K81" s="3" t="s">
        <v>59</v>
      </c>
      <c r="L81" s="3" t="s">
        <v>88</v>
      </c>
      <c r="M81" s="3" t="str">
        <f>IF(COUNTIF($C$2:$C$106,$C81)&gt;1,"Duplicado","Único")</f>
        <v>Único</v>
      </c>
      <c r="N81" s="3" t="str">
        <f>IFERROR(IF($F81=_xlfn.XLOOKUP($A81,'Fonte Referência'!$A$2:$A$13,'Fonte Referência'!$C$2:$C$13),"OK","Divergente"),"Não verificado")</f>
        <v>Não verificado</v>
      </c>
      <c r="O81" s="3" t="str">
        <f>IF(ABS($I81-DATEDIF($H81,DATE(2026,8,25),"Y"))&gt;1,"Inconsistente","OK")</f>
        <v>OK</v>
      </c>
    </row>
    <row r="82" spans="1:15" x14ac:dyDescent="0.3">
      <c r="A82" s="3" t="s">
        <v>393</v>
      </c>
      <c r="B82" s="3" t="s">
        <v>32</v>
      </c>
      <c r="C82" s="3" t="s">
        <v>394</v>
      </c>
      <c r="D82" s="3" t="s">
        <v>395</v>
      </c>
      <c r="E82" s="3" t="s">
        <v>396</v>
      </c>
      <c r="F82" s="3" t="s">
        <v>33</v>
      </c>
      <c r="G82" s="3" t="s">
        <v>58</v>
      </c>
      <c r="H82" s="5">
        <v>31232</v>
      </c>
      <c r="I82" s="6">
        <v>41</v>
      </c>
      <c r="J82" s="7">
        <v>12897</v>
      </c>
      <c r="K82" s="3" t="s">
        <v>59</v>
      </c>
      <c r="L82" s="3" t="s">
        <v>60</v>
      </c>
      <c r="M82" s="3" t="str">
        <f>IF(COUNTIF($C$2:$C$106,$C82)&gt;1,"Duplicado","Único")</f>
        <v>Único</v>
      </c>
      <c r="N82" s="3" t="str">
        <f>IFERROR(IF($F82=_xlfn.XLOOKUP($A82,'Fonte Referência'!$A$2:$A$13,'Fonte Referência'!$C$2:$C$13),"OK","Divergente"),"Não verificado")</f>
        <v>Não verificado</v>
      </c>
      <c r="O82" s="3" t="str">
        <f>IF(ABS($I82-DATEDIF($H82,DATE(2026,8,25),"Y"))&gt;1,"Inconsistente","OK")</f>
        <v>OK</v>
      </c>
    </row>
    <row r="83" spans="1:15" x14ac:dyDescent="0.3">
      <c r="A83" s="3" t="s">
        <v>397</v>
      </c>
      <c r="B83" s="3" t="s">
        <v>62</v>
      </c>
      <c r="C83" s="3" t="s">
        <v>398</v>
      </c>
      <c r="D83" s="3" t="s">
        <v>399</v>
      </c>
      <c r="E83" s="3" t="s">
        <v>400</v>
      </c>
      <c r="F83" s="3" t="s">
        <v>20</v>
      </c>
      <c r="G83" s="3" t="s">
        <v>66</v>
      </c>
      <c r="H83" s="5">
        <v>33731</v>
      </c>
      <c r="I83" s="6">
        <v>34</v>
      </c>
      <c r="J83" s="7">
        <v>13034</v>
      </c>
      <c r="K83" s="3" t="s">
        <v>59</v>
      </c>
      <c r="L83" s="3" t="s">
        <v>67</v>
      </c>
      <c r="M83" s="3" t="str">
        <f>IF(COUNTIF($C$2:$C$106,$C83)&gt;1,"Duplicado","Único")</f>
        <v>Único</v>
      </c>
      <c r="N83" s="3" t="str">
        <f>IFERROR(IF($F83=_xlfn.XLOOKUP($A83,'Fonte Referência'!$A$2:$A$13,'Fonte Referência'!$C$2:$C$13),"OK","Divergente"),"Não verificado")</f>
        <v>Não verificado</v>
      </c>
      <c r="O83" s="3" t="str">
        <f>IF(ABS($I83-DATEDIF($H83,DATE(2026,8,25),"Y"))&gt;1,"Inconsistente","OK")</f>
        <v>OK</v>
      </c>
    </row>
    <row r="84" spans="1:15" x14ac:dyDescent="0.3">
      <c r="A84" s="3" t="s">
        <v>401</v>
      </c>
      <c r="B84" s="3" t="s">
        <v>13</v>
      </c>
      <c r="C84" s="3" t="s">
        <v>402</v>
      </c>
      <c r="D84" s="3" t="s">
        <v>403</v>
      </c>
      <c r="E84" s="3" t="s">
        <v>404</v>
      </c>
      <c r="F84" s="3" t="s">
        <v>14</v>
      </c>
      <c r="G84" s="3" t="s">
        <v>71</v>
      </c>
      <c r="H84" s="5">
        <v>36229</v>
      </c>
      <c r="I84" s="6">
        <v>27</v>
      </c>
      <c r="J84" s="7">
        <v>13171</v>
      </c>
      <c r="K84" s="3" t="s">
        <v>72</v>
      </c>
      <c r="L84" s="3" t="s">
        <v>73</v>
      </c>
      <c r="M84" s="3" t="str">
        <f>IF(COUNTIF($C$2:$C$106,$C84)&gt;1,"Duplicado","Único")</f>
        <v>Único</v>
      </c>
      <c r="N84" s="3" t="str">
        <f>IFERROR(IF($F84=_xlfn.XLOOKUP($A84,'Fonte Referência'!$A$2:$A$13,'Fonte Referência'!$C$2:$C$13),"OK","Divergente"),"Não verificado")</f>
        <v>Não verificado</v>
      </c>
      <c r="O84" s="3" t="str">
        <f>IF(ABS($I84-DATEDIF($H84,DATE(2026,8,25),"Y"))&gt;1,"Inconsistente","OK")</f>
        <v>OK</v>
      </c>
    </row>
    <row r="85" spans="1:15" x14ac:dyDescent="0.3">
      <c r="A85" s="3" t="s">
        <v>24</v>
      </c>
      <c r="B85" s="3" t="s">
        <v>25</v>
      </c>
      <c r="C85" s="3" t="s">
        <v>405</v>
      </c>
      <c r="D85" s="3" t="s">
        <v>406</v>
      </c>
      <c r="E85" s="3" t="s">
        <v>407</v>
      </c>
      <c r="F85" s="18" t="s">
        <v>86</v>
      </c>
      <c r="G85" s="3" t="s">
        <v>87</v>
      </c>
      <c r="H85" s="5">
        <v>22294</v>
      </c>
      <c r="I85" s="6">
        <v>65</v>
      </c>
      <c r="J85" s="7">
        <v>13308</v>
      </c>
      <c r="K85" s="3" t="s">
        <v>79</v>
      </c>
      <c r="L85" s="3" t="s">
        <v>80</v>
      </c>
      <c r="M85" s="3" t="str">
        <f>IF(COUNTIF($C$2:$C$106,$C85)&gt;1,"Duplicado","Único")</f>
        <v>Único</v>
      </c>
      <c r="N85" s="3" t="str">
        <f>IFERROR(IF($F85=_xlfn.XLOOKUP($A85,'Fonte Referência'!$A$2:$A$13,'Fonte Referência'!$C$2:$C$13),"OK","Divergente"),"Não verificado")</f>
        <v>Divergente</v>
      </c>
      <c r="O85" s="3" t="str">
        <f>IF(ABS($I85-DATEDIF($H85,DATE(2026,8,25),"Y"))&gt;1,"Inconsistente","OK")</f>
        <v>OK</v>
      </c>
    </row>
    <row r="86" spans="1:15" x14ac:dyDescent="0.3">
      <c r="A86" s="3" t="s">
        <v>408</v>
      </c>
      <c r="B86" s="3" t="s">
        <v>82</v>
      </c>
      <c r="C86" s="3" t="s">
        <v>409</v>
      </c>
      <c r="D86" s="3" t="s">
        <v>410</v>
      </c>
      <c r="E86" s="3" t="s">
        <v>411</v>
      </c>
      <c r="F86" s="3" t="s">
        <v>86</v>
      </c>
      <c r="G86" s="3" t="s">
        <v>87</v>
      </c>
      <c r="H86" s="5">
        <v>25005</v>
      </c>
      <c r="I86" s="6">
        <v>58</v>
      </c>
      <c r="J86" s="7">
        <v>13445</v>
      </c>
      <c r="K86" s="3" t="s">
        <v>59</v>
      </c>
      <c r="L86" s="3" t="s">
        <v>88</v>
      </c>
      <c r="M86" s="3" t="str">
        <f>IF(COUNTIF($C$2:$C$106,$C86)&gt;1,"Duplicado","Único")</f>
        <v>Único</v>
      </c>
      <c r="N86" s="3" t="str">
        <f>IFERROR(IF($F86=_xlfn.XLOOKUP($A86,'Fonte Referência'!$A$2:$A$13,'Fonte Referência'!$C$2:$C$13),"OK","Divergente"),"Não verificado")</f>
        <v>Não verificado</v>
      </c>
      <c r="O86" s="3" t="str">
        <f>IF(ABS($I86-DATEDIF($H86,DATE(2026,8,25),"Y"))&gt;1,"Inconsistente","OK")</f>
        <v>OK</v>
      </c>
    </row>
    <row r="87" spans="1:15" x14ac:dyDescent="0.3">
      <c r="A87" s="3" t="s">
        <v>412</v>
      </c>
      <c r="B87" s="3" t="s">
        <v>90</v>
      </c>
      <c r="C87" s="3" t="s">
        <v>413</v>
      </c>
      <c r="D87" s="3" t="s">
        <v>414</v>
      </c>
      <c r="E87" s="3" t="s">
        <v>415</v>
      </c>
      <c r="F87" s="3" t="s">
        <v>39</v>
      </c>
      <c r="G87" s="3" t="s">
        <v>94</v>
      </c>
      <c r="H87" s="5">
        <v>27503</v>
      </c>
      <c r="I87" s="6">
        <v>51</v>
      </c>
      <c r="J87" s="7">
        <v>13582</v>
      </c>
      <c r="K87" s="3" t="s">
        <v>59</v>
      </c>
      <c r="L87" s="3" t="s">
        <v>60</v>
      </c>
      <c r="M87" s="3" t="str">
        <f>IF(COUNTIF($C$2:$C$106,$C87)&gt;1,"Duplicado","Único")</f>
        <v>Único</v>
      </c>
      <c r="N87" s="3" t="str">
        <f>IFERROR(IF($F87=_xlfn.XLOOKUP($A87,'Fonte Referência'!$A$2:$A$13,'Fonte Referência'!$C$2:$C$13),"OK","Divergente"),"Não verificado")</f>
        <v>Não verificado</v>
      </c>
      <c r="O87" s="3" t="str">
        <f>IF(ABS($I87-DATEDIF($H87,DATE(2026,8,25),"Y"))&gt;1,"Inconsistente","OK")</f>
        <v>OK</v>
      </c>
    </row>
    <row r="88" spans="1:15" x14ac:dyDescent="0.3">
      <c r="A88" s="3" t="s">
        <v>416</v>
      </c>
      <c r="B88" s="3" t="s">
        <v>96</v>
      </c>
      <c r="C88" s="3" t="s">
        <v>417</v>
      </c>
      <c r="D88" s="3" t="s">
        <v>418</v>
      </c>
      <c r="E88" s="3" t="s">
        <v>419</v>
      </c>
      <c r="F88" s="3" t="s">
        <v>17</v>
      </c>
      <c r="G88" s="3" t="s">
        <v>100</v>
      </c>
      <c r="H88" s="5">
        <v>29984</v>
      </c>
      <c r="I88" s="6">
        <v>44</v>
      </c>
      <c r="J88" s="7">
        <v>13719</v>
      </c>
      <c r="K88" s="3" t="s">
        <v>59</v>
      </c>
      <c r="L88" s="3" t="s">
        <v>67</v>
      </c>
      <c r="M88" s="3" t="str">
        <f>IF(COUNTIF($C$2:$C$106,$C88)&gt;1,"Duplicado","Único")</f>
        <v>Único</v>
      </c>
      <c r="N88" s="3" t="str">
        <f>IFERROR(IF($F88=_xlfn.XLOOKUP($A88,'Fonte Referência'!$A$2:$A$13,'Fonte Referência'!$C$2:$C$13),"OK","Divergente"),"Não verificado")</f>
        <v>Não verificado</v>
      </c>
      <c r="O88" s="3" t="str">
        <f>IF(ABS($I88-DATEDIF($H88,DATE(2026,8,25),"Y"))&gt;1,"Inconsistente","OK")</f>
        <v>OK</v>
      </c>
    </row>
    <row r="89" spans="1:15" x14ac:dyDescent="0.3">
      <c r="A89" s="3" t="s">
        <v>420</v>
      </c>
      <c r="B89" s="3" t="s">
        <v>22</v>
      </c>
      <c r="C89" s="3" t="s">
        <v>421</v>
      </c>
      <c r="D89" s="3" t="s">
        <v>422</v>
      </c>
      <c r="E89" s="3" t="s">
        <v>423</v>
      </c>
      <c r="F89" s="3" t="s">
        <v>23</v>
      </c>
      <c r="G89" s="3" t="s">
        <v>105</v>
      </c>
      <c r="H89" s="5">
        <v>32694</v>
      </c>
      <c r="I89" s="6">
        <v>37</v>
      </c>
      <c r="J89" s="7">
        <v>13856</v>
      </c>
      <c r="K89" s="3" t="s">
        <v>72</v>
      </c>
      <c r="L89" s="3" t="s">
        <v>73</v>
      </c>
      <c r="M89" s="3" t="str">
        <f>IF(COUNTIF($C$2:$C$106,$C89)&gt;1,"Duplicado","Único")</f>
        <v>Único</v>
      </c>
      <c r="N89" s="3" t="str">
        <f>IFERROR(IF($F89=_xlfn.XLOOKUP($A89,'Fonte Referência'!$A$2:$A$13,'Fonte Referência'!$C$2:$C$13),"OK","Divergente"),"Não verificado")</f>
        <v>Não verificado</v>
      </c>
      <c r="O89" s="3" t="str">
        <f>IF(ABS($I89-DATEDIF($H89,DATE(2026,8,25),"Y"))&gt;1,"Inconsistente","OK")</f>
        <v>OK</v>
      </c>
    </row>
    <row r="90" spans="1:15" x14ac:dyDescent="0.3">
      <c r="A90" s="3" t="s">
        <v>424</v>
      </c>
      <c r="B90" s="3" t="s">
        <v>107</v>
      </c>
      <c r="C90" s="3" t="s">
        <v>425</v>
      </c>
      <c r="D90" s="3" t="s">
        <v>426</v>
      </c>
      <c r="E90" s="3" t="s">
        <v>427</v>
      </c>
      <c r="F90" s="3" t="s">
        <v>36</v>
      </c>
      <c r="G90" s="3" t="s">
        <v>111</v>
      </c>
      <c r="H90" s="5">
        <v>35193</v>
      </c>
      <c r="I90" s="6">
        <v>30</v>
      </c>
      <c r="J90" s="7">
        <v>13993</v>
      </c>
      <c r="K90" s="3" t="s">
        <v>79</v>
      </c>
      <c r="L90" s="3" t="s">
        <v>80</v>
      </c>
      <c r="M90" s="3" t="str">
        <f>IF(COUNTIF($C$2:$C$106,$C90)&gt;1,"Duplicado","Único")</f>
        <v>Único</v>
      </c>
      <c r="N90" s="3" t="str">
        <f>IFERROR(IF($F90=_xlfn.XLOOKUP($A90,'Fonte Referência'!$A$2:$A$13,'Fonte Referência'!$C$2:$C$13),"OK","Divergente"),"Não verificado")</f>
        <v>Não verificado</v>
      </c>
      <c r="O90" s="3" t="str">
        <f>IF(ABS($I90-DATEDIF($H90,DATE(2026,8,25),"Y"))&gt;1,"Inconsistente","OK")</f>
        <v>OK</v>
      </c>
    </row>
    <row r="91" spans="1:15" x14ac:dyDescent="0.3">
      <c r="A91" s="3" t="s">
        <v>428</v>
      </c>
      <c r="B91" s="3" t="s">
        <v>9</v>
      </c>
      <c r="C91" s="3" t="s">
        <v>429</v>
      </c>
      <c r="D91" s="3" t="s">
        <v>430</v>
      </c>
      <c r="E91" s="3" t="s">
        <v>431</v>
      </c>
      <c r="F91" s="3" t="s">
        <v>10</v>
      </c>
      <c r="G91" s="3" t="s">
        <v>159</v>
      </c>
      <c r="H91" s="5">
        <v>21255</v>
      </c>
      <c r="I91" s="6">
        <v>68</v>
      </c>
      <c r="J91" s="7">
        <v>14130</v>
      </c>
      <c r="K91" s="3" t="s">
        <v>59</v>
      </c>
      <c r="L91" s="3" t="s">
        <v>88</v>
      </c>
      <c r="M91" s="3" t="str">
        <f>IF(COUNTIF($C$2:$C$106,$C91)&gt;1,"Duplicado","Único")</f>
        <v>Único</v>
      </c>
      <c r="N91" s="3" t="str">
        <f>IFERROR(IF($F91=_xlfn.XLOOKUP($A91,'Fonte Referência'!$A$2:$A$13,'Fonte Referência'!$C$2:$C$13),"OK","Divergente"),"Não verificado")</f>
        <v>Não verificado</v>
      </c>
      <c r="O91" s="3" t="str">
        <f>IF(ABS($I91-DATEDIF($H91,DATE(2026,8,25),"Y"))&gt;1,"Inconsistente","OK")</f>
        <v>OK</v>
      </c>
    </row>
    <row r="92" spans="1:15" x14ac:dyDescent="0.3">
      <c r="A92" s="3" t="s">
        <v>432</v>
      </c>
      <c r="B92" s="3" t="s">
        <v>116</v>
      </c>
      <c r="C92" s="3" t="s">
        <v>433</v>
      </c>
      <c r="D92" s="3" t="s">
        <v>434</v>
      </c>
      <c r="E92" s="3" t="s">
        <v>435</v>
      </c>
      <c r="F92" s="3" t="s">
        <v>33</v>
      </c>
      <c r="G92" s="3" t="s">
        <v>58</v>
      </c>
      <c r="H92" s="5">
        <v>23756</v>
      </c>
      <c r="I92" s="6">
        <v>61</v>
      </c>
      <c r="J92" s="7">
        <v>14267</v>
      </c>
      <c r="K92" s="3" t="s">
        <v>59</v>
      </c>
      <c r="L92" s="3" t="s">
        <v>60</v>
      </c>
      <c r="M92" s="3" t="str">
        <f>IF(COUNTIF($C$2:$C$106,$C92)&gt;1,"Duplicado","Único")</f>
        <v>Único</v>
      </c>
      <c r="N92" s="3" t="str">
        <f>IFERROR(IF($F92=_xlfn.XLOOKUP($A92,'Fonte Referência'!$A$2:$A$13,'Fonte Referência'!$C$2:$C$13),"OK","Divergente"),"Não verificado")</f>
        <v>Não verificado</v>
      </c>
      <c r="O92" s="3" t="str">
        <f>IF(ABS($I92-DATEDIF($H92,DATE(2026,8,25),"Y"))&gt;1,"Inconsistente","OK")</f>
        <v>OK</v>
      </c>
    </row>
    <row r="93" spans="1:15" x14ac:dyDescent="0.3">
      <c r="A93" s="3" t="s">
        <v>40</v>
      </c>
      <c r="B93" s="3" t="s">
        <v>19</v>
      </c>
      <c r="C93" s="3" t="s">
        <v>436</v>
      </c>
      <c r="D93" s="3" t="s">
        <v>437</v>
      </c>
      <c r="E93" s="3" t="s">
        <v>438</v>
      </c>
      <c r="F93" s="3" t="s">
        <v>20</v>
      </c>
      <c r="G93" s="3" t="s">
        <v>66</v>
      </c>
      <c r="H93" s="5">
        <v>26467</v>
      </c>
      <c r="I93" s="6">
        <v>54</v>
      </c>
      <c r="J93" s="7">
        <v>14404</v>
      </c>
      <c r="K93" s="3" t="s">
        <v>59</v>
      </c>
      <c r="L93" s="3" t="s">
        <v>67</v>
      </c>
      <c r="M93" s="3" t="str">
        <f>IF(COUNTIF($C$2:$C$106,$C93)&gt;1,"Duplicado","Único")</f>
        <v>Único</v>
      </c>
      <c r="N93" s="3" t="str">
        <f>IFERROR(IF($F93=_xlfn.XLOOKUP($A93,'Fonte Referência'!$A$2:$A$13,'Fonte Referência'!$C$2:$C$13),"OK","Divergente"),"Não verificado")</f>
        <v>OK</v>
      </c>
      <c r="O93" s="3" t="str">
        <f>IF(ABS($I93-DATEDIF($H93,DATE(2026,8,25),"Y"))&gt;1,"Inconsistente","OK")</f>
        <v>OK</v>
      </c>
    </row>
    <row r="94" spans="1:15" x14ac:dyDescent="0.3">
      <c r="A94" s="3" t="s">
        <v>439</v>
      </c>
      <c r="B94" s="3" t="s">
        <v>125</v>
      </c>
      <c r="C94" s="3" t="s">
        <v>440</v>
      </c>
      <c r="D94" s="3" t="s">
        <v>441</v>
      </c>
      <c r="E94" s="3" t="s">
        <v>442</v>
      </c>
      <c r="F94" s="3" t="s">
        <v>14</v>
      </c>
      <c r="G94" s="3" t="s">
        <v>71</v>
      </c>
      <c r="H94" s="5">
        <v>28965</v>
      </c>
      <c r="I94" s="6">
        <v>47</v>
      </c>
      <c r="J94" s="7">
        <v>14541</v>
      </c>
      <c r="K94" s="3" t="s">
        <v>72</v>
      </c>
      <c r="L94" s="3" t="s">
        <v>73</v>
      </c>
      <c r="M94" s="3" t="str">
        <f>IF(COUNTIF($C$2:$C$106,$C94)&gt;1,"Duplicado","Único")</f>
        <v>Único</v>
      </c>
      <c r="N94" s="3" t="str">
        <f>IFERROR(IF($F94=_xlfn.XLOOKUP($A94,'Fonte Referência'!$A$2:$A$13,'Fonte Referência'!$C$2:$C$13),"OK","Divergente"),"Não verificado")</f>
        <v>Não verificado</v>
      </c>
      <c r="O94" s="3" t="str">
        <f>IF(ABS($I94-DATEDIF($H94,DATE(2026,8,25),"Y"))&gt;1,"Inconsistente","OK")</f>
        <v>OK</v>
      </c>
    </row>
    <row r="95" spans="1:15" x14ac:dyDescent="0.3">
      <c r="A95" s="3" t="s">
        <v>443</v>
      </c>
      <c r="B95" s="3" t="s">
        <v>30</v>
      </c>
      <c r="C95" s="3" t="s">
        <v>444</v>
      </c>
      <c r="D95" s="3" t="s">
        <v>445</v>
      </c>
      <c r="E95" s="3" t="s">
        <v>446</v>
      </c>
      <c r="F95" s="3" t="s">
        <v>26</v>
      </c>
      <c r="G95" s="3" t="s">
        <v>78</v>
      </c>
      <c r="H95" s="5">
        <v>31446</v>
      </c>
      <c r="I95" s="6">
        <v>40</v>
      </c>
      <c r="J95" s="7">
        <v>1878</v>
      </c>
      <c r="K95" s="3" t="s">
        <v>79</v>
      </c>
      <c r="L95" s="3" t="s">
        <v>80</v>
      </c>
      <c r="M95" s="3" t="str">
        <f>IF(COUNTIF($C$2:$C$106,$C95)&gt;1,"Duplicado","Único")</f>
        <v>Único</v>
      </c>
      <c r="N95" s="3" t="str">
        <f>IFERROR(IF($F95=_xlfn.XLOOKUP($A95,'Fonte Referência'!$A$2:$A$13,'Fonte Referência'!$C$2:$C$13),"OK","Divergente"),"Não verificado")</f>
        <v>Não verificado</v>
      </c>
      <c r="O95" s="3" t="str">
        <f>IF(ABS($I95-DATEDIF($H95,DATE(2026,8,25),"Y"))&gt;1,"Inconsistente","OK")</f>
        <v>OK</v>
      </c>
    </row>
    <row r="96" spans="1:15" x14ac:dyDescent="0.3">
      <c r="A96" s="3" t="s">
        <v>447</v>
      </c>
      <c r="B96" s="3" t="s">
        <v>133</v>
      </c>
      <c r="C96" s="3" t="s">
        <v>448</v>
      </c>
      <c r="D96" s="3" t="s">
        <v>449</v>
      </c>
      <c r="E96" s="3" t="s">
        <v>450</v>
      </c>
      <c r="F96" s="3" t="s">
        <v>86</v>
      </c>
      <c r="G96" s="3" t="s">
        <v>87</v>
      </c>
      <c r="H96" s="5">
        <v>34156</v>
      </c>
      <c r="I96" s="6">
        <v>33</v>
      </c>
      <c r="J96" s="7">
        <v>2015</v>
      </c>
      <c r="K96" s="3" t="s">
        <v>59</v>
      </c>
      <c r="L96" s="3" t="s">
        <v>88</v>
      </c>
      <c r="M96" s="3" t="str">
        <f>IF(COUNTIF($C$2:$C$106,$C96)&gt;1,"Duplicado","Único")</f>
        <v>Duplicado</v>
      </c>
      <c r="N96" s="3" t="str">
        <f>IFERROR(IF($F96=_xlfn.XLOOKUP($A96,'Fonte Referência'!$A$2:$A$13,'Fonte Referência'!$C$2:$C$13),"OK","Divergente"),"Não verificado")</f>
        <v>Não verificado</v>
      </c>
      <c r="O96" s="3" t="str">
        <f>IF(ABS($I96-DATEDIF($H96,DATE(2026,8,25),"Y"))&gt;1,"Inconsistente","OK")</f>
        <v>OK</v>
      </c>
    </row>
    <row r="97" spans="1:15" x14ac:dyDescent="0.3">
      <c r="A97" s="3" t="s">
        <v>451</v>
      </c>
      <c r="B97" s="3" t="s">
        <v>38</v>
      </c>
      <c r="C97" s="3" t="s">
        <v>452</v>
      </c>
      <c r="D97" s="3" t="s">
        <v>453</v>
      </c>
      <c r="E97" s="3" t="s">
        <v>454</v>
      </c>
      <c r="F97" s="3" t="s">
        <v>39</v>
      </c>
      <c r="G97" s="3" t="s">
        <v>94</v>
      </c>
      <c r="H97" s="5">
        <v>36655</v>
      </c>
      <c r="I97" s="6">
        <v>26</v>
      </c>
      <c r="J97" s="7">
        <v>2152</v>
      </c>
      <c r="K97" s="3" t="s">
        <v>59</v>
      </c>
      <c r="L97" s="3" t="s">
        <v>60</v>
      </c>
      <c r="M97" s="3" t="str">
        <f>IF(COUNTIF($C$2:$C$106,$C97)&gt;1,"Duplicado","Único")</f>
        <v>Único</v>
      </c>
      <c r="N97" s="3" t="str">
        <f>IFERROR(IF($F97=_xlfn.XLOOKUP($A97,'Fonte Referência'!$A$2:$A$13,'Fonte Referência'!$C$2:$C$13),"OK","Divergente"),"Não verificado")</f>
        <v>Não verificado</v>
      </c>
      <c r="O97" s="3" t="str">
        <f>IF(ABS($I97-DATEDIF($H97,DATE(2026,8,25),"Y"))&gt;1,"Inconsistente","OK")</f>
        <v>OK</v>
      </c>
    </row>
    <row r="98" spans="1:15" x14ac:dyDescent="0.3">
      <c r="A98" s="3" t="s">
        <v>455</v>
      </c>
      <c r="B98" s="3" t="s">
        <v>16</v>
      </c>
      <c r="C98" s="3" t="s">
        <v>456</v>
      </c>
      <c r="D98" s="3" t="s">
        <v>457</v>
      </c>
      <c r="E98" s="3" t="s">
        <v>458</v>
      </c>
      <c r="F98" s="3" t="s">
        <v>17</v>
      </c>
      <c r="G98" s="3" t="s">
        <v>100</v>
      </c>
      <c r="H98" s="5">
        <v>22717</v>
      </c>
      <c r="I98" s="6">
        <v>64</v>
      </c>
      <c r="J98" s="7">
        <v>2289</v>
      </c>
      <c r="K98" s="3" t="s">
        <v>59</v>
      </c>
      <c r="L98" s="3" t="s">
        <v>67</v>
      </c>
      <c r="M98" s="3" t="str">
        <f>IF(COUNTIF($C$2:$C$106,$C98)&gt;1,"Duplicado","Único")</f>
        <v>Único</v>
      </c>
      <c r="N98" s="3" t="str">
        <f>IFERROR(IF($F98=_xlfn.XLOOKUP($A98,'Fonte Referência'!$A$2:$A$13,'Fonte Referência'!$C$2:$C$13),"OK","Divergente"),"Não verificado")</f>
        <v>Não verificado</v>
      </c>
      <c r="O98" s="3" t="str">
        <f>IF(ABS($I98-DATEDIF($H98,DATE(2026,8,25),"Y"))&gt;1,"Inconsistente","OK")</f>
        <v>OK</v>
      </c>
    </row>
    <row r="99" spans="1:15" x14ac:dyDescent="0.3">
      <c r="A99" s="3" t="s">
        <v>459</v>
      </c>
      <c r="B99" s="3" t="s">
        <v>146</v>
      </c>
      <c r="C99" s="3" t="s">
        <v>460</v>
      </c>
      <c r="D99" s="3" t="s">
        <v>461</v>
      </c>
      <c r="E99" s="3" t="s">
        <v>462</v>
      </c>
      <c r="F99" s="3" t="s">
        <v>23</v>
      </c>
      <c r="G99" s="3" t="s">
        <v>105</v>
      </c>
      <c r="H99" s="5">
        <v>25218</v>
      </c>
      <c r="I99" s="6">
        <v>57</v>
      </c>
      <c r="J99" s="7">
        <v>2426</v>
      </c>
      <c r="K99" s="3" t="s">
        <v>72</v>
      </c>
      <c r="L99" s="3" t="s">
        <v>73</v>
      </c>
      <c r="M99" s="3" t="str">
        <f>IF(COUNTIF($C$2:$C$106,$C99)&gt;1,"Duplicado","Único")</f>
        <v>Único</v>
      </c>
      <c r="N99" s="3" t="str">
        <f>IFERROR(IF($F99=_xlfn.XLOOKUP($A99,'Fonte Referência'!$A$2:$A$13,'Fonte Referência'!$C$2:$C$13),"OK","Divergente"),"Não verificado")</f>
        <v>Não verificado</v>
      </c>
      <c r="O99" s="3" t="str">
        <f>IF(ABS($I99-DATEDIF($H99,DATE(2026,8,25),"Y"))&gt;1,"Inconsistente","OK")</f>
        <v>OK</v>
      </c>
    </row>
    <row r="100" spans="1:15" x14ac:dyDescent="0.3">
      <c r="A100" s="3" t="s">
        <v>463</v>
      </c>
      <c r="B100" s="3" t="s">
        <v>35</v>
      </c>
      <c r="C100" s="3" t="s">
        <v>464</v>
      </c>
      <c r="D100" s="3" t="s">
        <v>465</v>
      </c>
      <c r="E100" s="3" t="s">
        <v>466</v>
      </c>
      <c r="F100" s="3" t="s">
        <v>36</v>
      </c>
      <c r="G100" s="3" t="s">
        <v>111</v>
      </c>
      <c r="H100" s="5">
        <v>27929</v>
      </c>
      <c r="I100" s="6">
        <v>50</v>
      </c>
      <c r="J100" s="7">
        <v>2563</v>
      </c>
      <c r="K100" s="3" t="s">
        <v>79</v>
      </c>
      <c r="L100" s="3" t="s">
        <v>80</v>
      </c>
      <c r="M100" s="3" t="str">
        <f>IF(COUNTIF($C$2:$C$106,$C100)&gt;1,"Duplicado","Único")</f>
        <v>Único</v>
      </c>
      <c r="N100" s="3" t="str">
        <f>IFERROR(IF($F100=_xlfn.XLOOKUP($A100,'Fonte Referência'!$A$2:$A$13,'Fonte Referência'!$C$2:$C$13),"OK","Divergente"),"Não verificado")</f>
        <v>Não verificado</v>
      </c>
      <c r="O100" s="3" t="str">
        <f>IF(ABS($I100-DATEDIF($H100,DATE(2026,8,25),"Y"))&gt;1,"Inconsistente","OK")</f>
        <v>OK</v>
      </c>
    </row>
    <row r="101" spans="1:15" x14ac:dyDescent="0.3">
      <c r="A101" s="3" t="s">
        <v>467</v>
      </c>
      <c r="B101" s="3" t="s">
        <v>155</v>
      </c>
      <c r="C101" s="3" t="s">
        <v>468</v>
      </c>
      <c r="D101" s="3" t="s">
        <v>469</v>
      </c>
      <c r="E101" s="3" t="s">
        <v>470</v>
      </c>
      <c r="F101" s="3" t="s">
        <v>10</v>
      </c>
      <c r="G101" s="3" t="s">
        <v>159</v>
      </c>
      <c r="H101" s="5">
        <v>30407</v>
      </c>
      <c r="I101" s="6">
        <v>43</v>
      </c>
      <c r="J101" s="7">
        <v>2700</v>
      </c>
      <c r="K101" s="3" t="s">
        <v>59</v>
      </c>
      <c r="L101" s="3" t="s">
        <v>88</v>
      </c>
      <c r="M101" s="3" t="str">
        <f>IF(COUNTIF($C$2:$C$106,$C101)&gt;1,"Duplicado","Único")</f>
        <v>Único</v>
      </c>
      <c r="N101" s="3" t="str">
        <f>IFERROR(IF($F101=_xlfn.XLOOKUP($A101,'Fonte Referência'!$A$2:$A$13,'Fonte Referência'!$C$2:$C$13),"OK","Divergente"),"Não verificado")</f>
        <v>Não verificado</v>
      </c>
      <c r="O101" s="3" t="str">
        <f>IF(ABS($I101-DATEDIF($H101,DATE(2026,8,25),"Y"))&gt;1,"Inconsistente","OK")</f>
        <v>OK</v>
      </c>
    </row>
    <row r="102" spans="1:15" x14ac:dyDescent="0.3">
      <c r="A102" s="3" t="s">
        <v>81</v>
      </c>
      <c r="B102" s="3" t="s">
        <v>82</v>
      </c>
      <c r="C102" s="3" t="s">
        <v>83</v>
      </c>
      <c r="D102" s="3" t="s">
        <v>84</v>
      </c>
      <c r="E102" s="3" t="s">
        <v>85</v>
      </c>
      <c r="F102" s="3" t="s">
        <v>86</v>
      </c>
      <c r="G102" s="3" t="s">
        <v>87</v>
      </c>
      <c r="H102" s="5">
        <v>34105</v>
      </c>
      <c r="I102" s="6">
        <v>33</v>
      </c>
      <c r="J102" s="7">
        <v>2485</v>
      </c>
      <c r="K102" s="3" t="s">
        <v>59</v>
      </c>
      <c r="L102" s="3" t="s">
        <v>88</v>
      </c>
      <c r="M102" s="3" t="str">
        <f>IF(COUNTIF($C$2:$C$106,$C102)&gt;1,"Duplicado","Único")</f>
        <v>Duplicado</v>
      </c>
      <c r="N102" s="3" t="str">
        <f>IFERROR(IF($F102=_xlfn.XLOOKUP($A102,'Fonte Referência'!$A$2:$A$13,'Fonte Referência'!$C$2:$C$13),"OK","Divergente"),"Não verificado")</f>
        <v>Não verificado</v>
      </c>
      <c r="O102" s="3" t="str">
        <f>IF(ABS($I102-DATEDIF($H102,DATE(2026,8,25),"Y"))&gt;1,"Inconsistente","OK")</f>
        <v>OK</v>
      </c>
    </row>
    <row r="103" spans="1:15" x14ac:dyDescent="0.3">
      <c r="A103" s="3" t="s">
        <v>145</v>
      </c>
      <c r="B103" s="3" t="s">
        <v>146</v>
      </c>
      <c r="C103" s="3" t="s">
        <v>147</v>
      </c>
      <c r="D103" s="3" t="s">
        <v>148</v>
      </c>
      <c r="E103" s="3" t="s">
        <v>149</v>
      </c>
      <c r="F103" s="3" t="s">
        <v>23</v>
      </c>
      <c r="G103" s="3" t="s">
        <v>105</v>
      </c>
      <c r="H103" s="5">
        <v>34530</v>
      </c>
      <c r="I103" s="6">
        <v>32</v>
      </c>
      <c r="J103" s="7">
        <v>4266</v>
      </c>
      <c r="K103" s="3" t="s">
        <v>72</v>
      </c>
      <c r="L103" s="3" t="s">
        <v>73</v>
      </c>
      <c r="M103" s="3" t="str">
        <f>IF(COUNTIF($C$2:$C$106,$C103)&gt;1,"Duplicado","Único")</f>
        <v>Duplicado</v>
      </c>
      <c r="N103" s="3" t="str">
        <f>IFERROR(IF($F103=_xlfn.XLOOKUP($A103,'Fonte Referência'!$A$2:$A$13,'Fonte Referência'!$C$2:$C$13),"OK","Divergente"),"Não verificado")</f>
        <v>Não verificado</v>
      </c>
      <c r="O103" s="3" t="str">
        <f>IF(ABS($I103-DATEDIF($H103,DATE(2026,8,25),"Y"))&gt;1,"Inconsistente","OK")</f>
        <v>OK</v>
      </c>
    </row>
    <row r="104" spans="1:15" x14ac:dyDescent="0.3">
      <c r="A104" s="3" t="s">
        <v>241</v>
      </c>
      <c r="B104" s="3" t="s">
        <v>62</v>
      </c>
      <c r="C104" s="3" t="s">
        <v>242</v>
      </c>
      <c r="D104" s="3" t="s">
        <v>243</v>
      </c>
      <c r="E104" s="3" t="s">
        <v>244</v>
      </c>
      <c r="F104" s="3" t="s">
        <v>20</v>
      </c>
      <c r="G104" s="3" t="s">
        <v>66</v>
      </c>
      <c r="H104" s="5">
        <v>29958</v>
      </c>
      <c r="I104" s="6">
        <v>44</v>
      </c>
      <c r="J104" s="7">
        <v>7554</v>
      </c>
      <c r="K104" s="3" t="s">
        <v>59</v>
      </c>
      <c r="L104" s="3" t="s">
        <v>67</v>
      </c>
      <c r="M104" s="3" t="str">
        <f>IF(COUNTIF($C$2:$C$106,$C104)&gt;1,"Duplicado","Único")</f>
        <v>Duplicado</v>
      </c>
      <c r="N104" s="3" t="str">
        <f>IFERROR(IF($F104=_xlfn.XLOOKUP($A104,'Fonte Referência'!$A$2:$A$13,'Fonte Referência'!$C$2:$C$13),"OK","Divergente"),"Não verificado")</f>
        <v>Não verificado</v>
      </c>
      <c r="O104" s="3" t="str">
        <f>IF(ABS($I104-DATEDIF($H104,DATE(2026,8,25),"Y"))&gt;1,"Inconsistente","OK")</f>
        <v>OK</v>
      </c>
    </row>
    <row r="105" spans="1:15" x14ac:dyDescent="0.3">
      <c r="A105" s="3" t="s">
        <v>354</v>
      </c>
      <c r="B105" s="3" t="s">
        <v>116</v>
      </c>
      <c r="C105" s="3" t="s">
        <v>355</v>
      </c>
      <c r="D105" s="3" t="s">
        <v>356</v>
      </c>
      <c r="E105" s="3" t="s">
        <v>357</v>
      </c>
      <c r="F105" s="3" t="s">
        <v>33</v>
      </c>
      <c r="G105" s="3" t="s">
        <v>58</v>
      </c>
      <c r="H105" s="5">
        <v>22081</v>
      </c>
      <c r="I105" s="6">
        <v>66</v>
      </c>
      <c r="J105" s="7">
        <v>11527</v>
      </c>
      <c r="K105" s="3" t="s">
        <v>59</v>
      </c>
      <c r="L105" s="3" t="s">
        <v>60</v>
      </c>
      <c r="M105" s="3" t="str">
        <f>IF(COUNTIF($C$2:$C$106,$C105)&gt;1,"Duplicado","Único")</f>
        <v>Duplicado</v>
      </c>
      <c r="N105" s="3" t="str">
        <f>IFERROR(IF($F105=_xlfn.XLOOKUP($A105,'Fonte Referência'!$A$2:$A$13,'Fonte Referência'!$C$2:$C$13),"OK","Divergente"),"Não verificado")</f>
        <v>Não verificado</v>
      </c>
      <c r="O105" s="3" t="str">
        <f>IF(ABS($I105-DATEDIF($H105,DATE(2026,8,25),"Y"))&gt;1,"Inconsistente","OK")</f>
        <v>OK</v>
      </c>
    </row>
    <row r="106" spans="1:15" x14ac:dyDescent="0.3">
      <c r="A106" s="3" t="s">
        <v>447</v>
      </c>
      <c r="B106" s="3" t="s">
        <v>133</v>
      </c>
      <c r="C106" s="3" t="s">
        <v>448</v>
      </c>
      <c r="D106" s="3" t="s">
        <v>449</v>
      </c>
      <c r="E106" s="3" t="s">
        <v>450</v>
      </c>
      <c r="F106" s="3" t="s">
        <v>86</v>
      </c>
      <c r="G106" s="3" t="s">
        <v>87</v>
      </c>
      <c r="H106" s="5">
        <v>34156</v>
      </c>
      <c r="I106" s="6">
        <v>33</v>
      </c>
      <c r="J106" s="7">
        <v>2015</v>
      </c>
      <c r="K106" s="3" t="s">
        <v>59</v>
      </c>
      <c r="L106" s="3" t="s">
        <v>88</v>
      </c>
      <c r="M106" s="3" t="str">
        <f>IF(COUNTIF($C$2:$C$106,$C106)&gt;1,"Duplicado","Único")</f>
        <v>Duplicado</v>
      </c>
      <c r="N106" s="3" t="str">
        <f>IFERROR(IF($F106=_xlfn.XLOOKUP($A106,'Fonte Referência'!$A$2:$A$13,'Fonte Referência'!$C$2:$C$13),"OK","Divergente"),"Não verificado")</f>
        <v>Não verificado</v>
      </c>
      <c r="O106" s="3" t="str">
        <f>IF(ABS($I106-DATEDIF($H106,DATE(2026,8,25),"Y"))&gt;1,"Inconsistente","OK")</f>
        <v>OK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FE78-A923-45BD-AE6E-B727ACFA81C3}">
  <dimension ref="A1:D13"/>
  <sheetViews>
    <sheetView workbookViewId="0">
      <selection activeCell="H8" sqref="H8"/>
    </sheetView>
  </sheetViews>
  <sheetFormatPr defaultRowHeight="14.4" x14ac:dyDescent="0.3"/>
  <cols>
    <col min="1" max="1" width="14.77734375" customWidth="1"/>
    <col min="2" max="2" width="23.109375" customWidth="1"/>
    <col min="3" max="3" width="16.33203125" customWidth="1"/>
    <col min="4" max="4" width="37" customWidth="1"/>
  </cols>
  <sheetData>
    <row r="1" spans="1:4" x14ac:dyDescent="0.3">
      <c r="A1" s="3" t="s">
        <v>4</v>
      </c>
      <c r="B1" s="3" t="s">
        <v>5</v>
      </c>
      <c r="C1" s="3" t="s">
        <v>6</v>
      </c>
      <c r="D1" s="3" t="s">
        <v>7</v>
      </c>
    </row>
    <row r="2" spans="1:4" ht="28.8" x14ac:dyDescent="0.3">
      <c r="A2" s="3" t="s">
        <v>8</v>
      </c>
      <c r="B2" s="3" t="s">
        <v>9</v>
      </c>
      <c r="C2" s="18" t="s">
        <v>10</v>
      </c>
      <c r="D2" s="16" t="s">
        <v>11</v>
      </c>
    </row>
    <row r="3" spans="1:4" ht="28.8" x14ac:dyDescent="0.3">
      <c r="A3" s="3" t="s">
        <v>12</v>
      </c>
      <c r="B3" s="3" t="s">
        <v>13</v>
      </c>
      <c r="C3" s="18" t="s">
        <v>14</v>
      </c>
      <c r="D3" s="16" t="s">
        <v>11</v>
      </c>
    </row>
    <row r="4" spans="1:4" ht="28.8" x14ac:dyDescent="0.3">
      <c r="A4" s="3" t="s">
        <v>15</v>
      </c>
      <c r="B4" s="3" t="s">
        <v>16</v>
      </c>
      <c r="C4" s="18" t="s">
        <v>17</v>
      </c>
      <c r="D4" s="16" t="s">
        <v>11</v>
      </c>
    </row>
    <row r="5" spans="1:4" ht="28.8" x14ac:dyDescent="0.3">
      <c r="A5" s="3" t="s">
        <v>18</v>
      </c>
      <c r="B5" s="3" t="s">
        <v>19</v>
      </c>
      <c r="C5" s="18" t="s">
        <v>20</v>
      </c>
      <c r="D5" s="16" t="s">
        <v>11</v>
      </c>
    </row>
    <row r="6" spans="1:4" ht="28.8" x14ac:dyDescent="0.3">
      <c r="A6" s="3" t="s">
        <v>21</v>
      </c>
      <c r="B6" s="3" t="s">
        <v>22</v>
      </c>
      <c r="C6" s="18" t="s">
        <v>23</v>
      </c>
      <c r="D6" s="16" t="s">
        <v>11</v>
      </c>
    </row>
    <row r="7" spans="1:4" ht="28.8" x14ac:dyDescent="0.3">
      <c r="A7" s="3" t="s">
        <v>24</v>
      </c>
      <c r="B7" s="3" t="s">
        <v>25</v>
      </c>
      <c r="C7" s="18" t="s">
        <v>26</v>
      </c>
      <c r="D7" s="16" t="s">
        <v>11</v>
      </c>
    </row>
    <row r="8" spans="1:4" x14ac:dyDescent="0.3">
      <c r="A8" s="3" t="s">
        <v>27</v>
      </c>
      <c r="B8" s="3" t="s">
        <v>13</v>
      </c>
      <c r="C8" s="3" t="s">
        <v>14</v>
      </c>
      <c r="D8" s="16" t="s">
        <v>28</v>
      </c>
    </row>
    <row r="9" spans="1:4" x14ac:dyDescent="0.3">
      <c r="A9" s="3" t="s">
        <v>29</v>
      </c>
      <c r="B9" s="3" t="s">
        <v>30</v>
      </c>
      <c r="C9" s="3" t="s">
        <v>26</v>
      </c>
      <c r="D9" s="16" t="s">
        <v>28</v>
      </c>
    </row>
    <row r="10" spans="1:4" x14ac:dyDescent="0.3">
      <c r="A10" s="3" t="s">
        <v>31</v>
      </c>
      <c r="B10" s="3" t="s">
        <v>32</v>
      </c>
      <c r="C10" s="3" t="s">
        <v>33</v>
      </c>
      <c r="D10" s="16" t="s">
        <v>28</v>
      </c>
    </row>
    <row r="11" spans="1:4" x14ac:dyDescent="0.3">
      <c r="A11" s="3" t="s">
        <v>34</v>
      </c>
      <c r="B11" s="3" t="s">
        <v>35</v>
      </c>
      <c r="C11" s="3" t="s">
        <v>36</v>
      </c>
      <c r="D11" s="16" t="s">
        <v>28</v>
      </c>
    </row>
    <row r="12" spans="1:4" x14ac:dyDescent="0.3">
      <c r="A12" s="3" t="s">
        <v>37</v>
      </c>
      <c r="B12" s="3" t="s">
        <v>38</v>
      </c>
      <c r="C12" s="3" t="s">
        <v>39</v>
      </c>
      <c r="D12" s="16" t="s">
        <v>28</v>
      </c>
    </row>
    <row r="13" spans="1:4" x14ac:dyDescent="0.3">
      <c r="A13" s="3" t="s">
        <v>40</v>
      </c>
      <c r="B13" s="3" t="s">
        <v>19</v>
      </c>
      <c r="C13" s="3" t="s">
        <v>20</v>
      </c>
      <c r="D13" s="16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E4B6-8BB4-49F2-993E-92E6E0376A4B}">
  <dimension ref="A1:B12"/>
  <sheetViews>
    <sheetView workbookViewId="0">
      <selection activeCell="E6" sqref="E6"/>
    </sheetView>
  </sheetViews>
  <sheetFormatPr defaultRowHeight="14.4" x14ac:dyDescent="0.3"/>
  <cols>
    <col min="1" max="1" width="37" customWidth="1"/>
    <col min="2" max="2" width="64.77734375" customWidth="1"/>
  </cols>
  <sheetData>
    <row r="1" spans="1:2" x14ac:dyDescent="0.3">
      <c r="A1" s="4" t="s">
        <v>487</v>
      </c>
      <c r="B1" s="4"/>
    </row>
    <row r="2" spans="1:2" ht="43.2" x14ac:dyDescent="0.3">
      <c r="A2" s="17" t="s">
        <v>488</v>
      </c>
      <c r="B2" s="16" t="s">
        <v>489</v>
      </c>
    </row>
    <row r="3" spans="1:2" ht="43.2" x14ac:dyDescent="0.3">
      <c r="A3" s="17" t="s">
        <v>490</v>
      </c>
      <c r="B3" s="16" t="s">
        <v>491</v>
      </c>
    </row>
    <row r="4" spans="1:2" ht="43.2" x14ac:dyDescent="0.3">
      <c r="A4" s="17" t="s">
        <v>492</v>
      </c>
      <c r="B4" s="16" t="s">
        <v>493</v>
      </c>
    </row>
    <row r="5" spans="1:2" ht="43.2" x14ac:dyDescent="0.3">
      <c r="A5" s="17" t="s">
        <v>494</v>
      </c>
      <c r="B5" s="16" t="s">
        <v>495</v>
      </c>
    </row>
    <row r="6" spans="1:2" x14ac:dyDescent="0.3">
      <c r="A6" s="3"/>
      <c r="B6" s="3"/>
    </row>
    <row r="7" spans="1:2" x14ac:dyDescent="0.3">
      <c r="A7" s="4" t="s">
        <v>496</v>
      </c>
      <c r="B7" s="4"/>
    </row>
    <row r="8" spans="1:2" ht="28.8" x14ac:dyDescent="0.3">
      <c r="A8" s="17">
        <v>1</v>
      </c>
      <c r="B8" s="16" t="s">
        <v>497</v>
      </c>
    </row>
    <row r="9" spans="1:2" ht="28.8" x14ac:dyDescent="0.3">
      <c r="A9" s="17">
        <v>2</v>
      </c>
      <c r="B9" s="16" t="s">
        <v>498</v>
      </c>
    </row>
    <row r="10" spans="1:2" x14ac:dyDescent="0.3">
      <c r="A10" s="17">
        <v>3</v>
      </c>
      <c r="B10" s="16" t="s">
        <v>499</v>
      </c>
    </row>
    <row r="11" spans="1:2" ht="28.8" x14ac:dyDescent="0.3">
      <c r="A11" s="17">
        <v>4</v>
      </c>
      <c r="B11" s="16" t="s">
        <v>500</v>
      </c>
    </row>
    <row r="12" spans="1:2" ht="28.8" x14ac:dyDescent="0.3">
      <c r="A12" s="17">
        <v>5</v>
      </c>
      <c r="B12" s="16" t="s">
        <v>501</v>
      </c>
    </row>
  </sheetData>
  <mergeCells count="2">
    <mergeCell ref="A1:B1"/>
    <mergeCell ref="A7:B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</vt:lpstr>
      <vt:lpstr>Base Clientes</vt:lpstr>
      <vt:lpstr>Fonte Referência</vt:lpstr>
      <vt:lpstr>Respostas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SALERNO</dc:creator>
  <cp:lastModifiedBy>ANDRE SALERNO</cp:lastModifiedBy>
  <dcterms:created xsi:type="dcterms:W3CDTF">2026-08-25T17:53:02Z</dcterms:created>
  <dcterms:modified xsi:type="dcterms:W3CDTF">2026-08-25T18:16:23Z</dcterms:modified>
</cp:coreProperties>
</file>