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ssoal\fatec\6-sem\mineracao\aula-05\"/>
    </mc:Choice>
  </mc:AlternateContent>
  <xr:revisionPtr revIDLastSave="0" documentId="13_ncr:1_{C94154BB-F6FA-4934-8DD8-1AACA71EA77D}" xr6:coauthVersionLast="47" xr6:coauthVersionMax="47" xr10:uidLastSave="{00000000-0000-0000-0000-000000000000}"/>
  <bookViews>
    <workbookView xWindow="-108" yWindow="-108" windowWidth="23256" windowHeight="12456" firstSheet="1" activeTab="3" xr2:uid="{B942DFC4-E544-43A6-B9CB-0EDB39B6621C}"/>
  </bookViews>
  <sheets>
    <sheet name="Início" sheetId="4" r:id="rId1"/>
    <sheet name="cadastro-clientes" sheetId="1" r:id="rId2"/>
    <sheet name="cadastro-produtos" sheetId="2" r:id="rId3"/>
    <sheet name="historico-compr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1" i="3" l="1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<sst xmlns="http://schemas.openxmlformats.org/spreadsheetml/2006/main" count="853" uniqueCount="491">
  <si>
    <t>ID Cliente</t>
  </si>
  <si>
    <t>Nome Cliente</t>
  </si>
  <si>
    <t>Data Nascimento</t>
  </si>
  <si>
    <t>Endereço</t>
  </si>
  <si>
    <t>Número</t>
  </si>
  <si>
    <t>Complemento</t>
  </si>
  <si>
    <t>Bairro</t>
  </si>
  <si>
    <t>Cidade</t>
  </si>
  <si>
    <t>Estado</t>
  </si>
  <si>
    <t>CEP</t>
  </si>
  <si>
    <t>CLI-0001</t>
  </si>
  <si>
    <t>Ana Beatriz Monteiro</t>
  </si>
  <si>
    <t>Rua das Acácias</t>
  </si>
  <si>
    <t>Apto 32</t>
  </si>
  <si>
    <t>Jardim Primavera</t>
  </si>
  <si>
    <t>São Paulo</t>
  </si>
  <si>
    <t>SP</t>
  </si>
  <si>
    <t>04123-150</t>
  </si>
  <si>
    <t>CLI-0002</t>
  </si>
  <si>
    <t>Bruno Henrique Costa</t>
  </si>
  <si>
    <t>Avenida do Sol</t>
  </si>
  <si>
    <t>Bloco B</t>
  </si>
  <si>
    <t>Centro</t>
  </si>
  <si>
    <t>Campinas</t>
  </si>
  <si>
    <t>13010-110</t>
  </si>
  <si>
    <t>CLI-0003</t>
  </si>
  <si>
    <t>Camila Ferreira Lima</t>
  </si>
  <si>
    <t>Rua dos Ipês</t>
  </si>
  <si>
    <t>Casa 2</t>
  </si>
  <si>
    <t>Boa Vista</t>
  </si>
  <si>
    <t>Curitiba</t>
  </si>
  <si>
    <t>PR</t>
  </si>
  <si>
    <t>80540-210</t>
  </si>
  <si>
    <t>CLI-0004</t>
  </si>
  <si>
    <t>Daniel Alves Ribeiro</t>
  </si>
  <si>
    <t>Travessa Aurora</t>
  </si>
  <si>
    <t>Fundos</t>
  </si>
  <si>
    <t>Floresta</t>
  </si>
  <si>
    <t>Porto Alegre</t>
  </si>
  <si>
    <t>RS</t>
  </si>
  <si>
    <t>90450-080</t>
  </si>
  <si>
    <t>CLI-0005</t>
  </si>
  <si>
    <t>Eduarda Martins Souza</t>
  </si>
  <si>
    <t>Alameda das Flores</t>
  </si>
  <si>
    <t>Apto 71</t>
  </si>
  <si>
    <t>Savassi</t>
  </si>
  <si>
    <t>Belo Horizonte</t>
  </si>
  <si>
    <t>MG</t>
  </si>
  <si>
    <t>30140-071</t>
  </si>
  <si>
    <t>CLI-0006</t>
  </si>
  <si>
    <t>Felipe Augusto Rocha</t>
  </si>
  <si>
    <t>Rua Horizonte Azul</t>
  </si>
  <si>
    <t>Casa</t>
  </si>
  <si>
    <t>Aldeota</t>
  </si>
  <si>
    <t>Fortaleza</t>
  </si>
  <si>
    <t>CE</t>
  </si>
  <si>
    <t>60150-160</t>
  </si>
  <si>
    <t>CLI-0007</t>
  </si>
  <si>
    <t>Gabriela Mendes Silva</t>
  </si>
  <si>
    <t>Avenida das Palmeiras</t>
  </si>
  <si>
    <t>Sala 14</t>
  </si>
  <si>
    <t>Pituba</t>
  </si>
  <si>
    <t>Salvador</t>
  </si>
  <si>
    <t>BA</t>
  </si>
  <si>
    <t>41810-012</t>
  </si>
  <si>
    <t>CLI-0008</t>
  </si>
  <si>
    <t>Henrique Nunes Prado</t>
  </si>
  <si>
    <t>Rua do Comércio</t>
  </si>
  <si>
    <t>Apto 18</t>
  </si>
  <si>
    <t>Goiânia</t>
  </si>
  <si>
    <t>GO</t>
  </si>
  <si>
    <t>74003-010</t>
  </si>
  <si>
    <t>CLI-0009</t>
  </si>
  <si>
    <t>Isabela Cristina Moraes</t>
  </si>
  <si>
    <t>Rua Lago Sereno</t>
  </si>
  <si>
    <t>Bloco C</t>
  </si>
  <si>
    <t>Ponta Verde</t>
  </si>
  <si>
    <t>Maceió</t>
  </si>
  <si>
    <t>AL</t>
  </si>
  <si>
    <t>57035-180</t>
  </si>
  <si>
    <t>CLI-0010</t>
  </si>
  <si>
    <t>João Pedro Almeida</t>
  </si>
  <si>
    <t>Avenida Central</t>
  </si>
  <si>
    <t>Casa 4</t>
  </si>
  <si>
    <t>Asa Norte</t>
  </si>
  <si>
    <t>Brasília</t>
  </si>
  <si>
    <t>DF</t>
  </si>
  <si>
    <t>70740-020</t>
  </si>
  <si>
    <t>CLI-0011</t>
  </si>
  <si>
    <t>Karina Lopes Cardoso</t>
  </si>
  <si>
    <t>Rua Pedra Branca</t>
  </si>
  <si>
    <t>Apto 51</t>
  </si>
  <si>
    <t>Trindade</t>
  </si>
  <si>
    <t>Florianópolis</t>
  </si>
  <si>
    <t>SC</t>
  </si>
  <si>
    <t>88036-002</t>
  </si>
  <si>
    <t>CLI-0012</t>
  </si>
  <si>
    <t>Lucas Gabriel Barros</t>
  </si>
  <si>
    <t>Rua das Andorinhas</t>
  </si>
  <si>
    <t>Tamarineira</t>
  </si>
  <si>
    <t>Recife</t>
  </si>
  <si>
    <t>PE</t>
  </si>
  <si>
    <t>52060-140</t>
  </si>
  <si>
    <t>CLI-0013</t>
  </si>
  <si>
    <t>Mariana Oliveira Reis</t>
  </si>
  <si>
    <t>Alameda Rio Claro</t>
  </si>
  <si>
    <t>Adrianópolis</t>
  </si>
  <si>
    <t>Manaus</t>
  </si>
  <si>
    <t>AM</t>
  </si>
  <si>
    <t>69057-060</t>
  </si>
  <si>
    <t>CLI-0014</t>
  </si>
  <si>
    <t>Nicolas Vieira Santos</t>
  </si>
  <si>
    <t>Rua Porto Seguro</t>
  </si>
  <si>
    <t>Apto 23</t>
  </si>
  <si>
    <t>Umarizal</t>
  </si>
  <si>
    <t>Belém</t>
  </si>
  <si>
    <t>PA</t>
  </si>
  <si>
    <t>66055-240</t>
  </si>
  <si>
    <t>CLI-0015</t>
  </si>
  <si>
    <t>Olívia Ramos Teixeira</t>
  </si>
  <si>
    <t>Avenida Boa Esperança</t>
  </si>
  <si>
    <t>Bloco A</t>
  </si>
  <si>
    <t>Jardim Camburi</t>
  </si>
  <si>
    <t>Vitória</t>
  </si>
  <si>
    <t>ES</t>
  </si>
  <si>
    <t>29090-220</t>
  </si>
  <si>
    <t>CLI-0016</t>
  </si>
  <si>
    <t>Paulo César Freitas</t>
  </si>
  <si>
    <t>Rua Serra Dourada</t>
  </si>
  <si>
    <t>Casa 3</t>
  </si>
  <si>
    <t>Cuiabá</t>
  </si>
  <si>
    <t>MT</t>
  </si>
  <si>
    <t>78005-250</t>
  </si>
  <si>
    <t>CLI-0017</t>
  </si>
  <si>
    <t>Queila Andrade Pires</t>
  </si>
  <si>
    <t>Travessa das Oliveiras</t>
  </si>
  <si>
    <t>Apto 62</t>
  </si>
  <si>
    <t>Farol</t>
  </si>
  <si>
    <t>57051-000</t>
  </si>
  <si>
    <t>CLI-0018</t>
  </si>
  <si>
    <t>Rafael Moreira Campos</t>
  </si>
  <si>
    <t>Rua Vale Verde</t>
  </si>
  <si>
    <t>Sala 8</t>
  </si>
  <si>
    <t>Batista Campos</t>
  </si>
  <si>
    <t>66023-710</t>
  </si>
  <si>
    <t>CLI-0019</t>
  </si>
  <si>
    <t>Sabrina Tavares Melo</t>
  </si>
  <si>
    <t>Avenida das Nações</t>
  </si>
  <si>
    <t>Apto 101</t>
  </si>
  <si>
    <t>Meireles</t>
  </si>
  <si>
    <t>60165-121</t>
  </si>
  <si>
    <t>CLI-0020</t>
  </si>
  <si>
    <t>Thiago Rodrigues Cunha</t>
  </si>
  <si>
    <t>Rua Monte Azul</t>
  </si>
  <si>
    <t>Santa Efigênia</t>
  </si>
  <si>
    <t>30150-270</t>
  </si>
  <si>
    <t>CLI-0021</t>
  </si>
  <si>
    <t>Úrsula Fernandes Dias</t>
  </si>
  <si>
    <t>Rua Jardim Secreto</t>
  </si>
  <si>
    <t>Bloco D</t>
  </si>
  <si>
    <t>Água Verde</t>
  </si>
  <si>
    <t>80620-060</t>
  </si>
  <si>
    <t>CLI-0022</t>
  </si>
  <si>
    <t>Vinícius Araújo Pinto</t>
  </si>
  <si>
    <t>Alameda dos Pássaros</t>
  </si>
  <si>
    <t>Apto 45</t>
  </si>
  <si>
    <t>Moema</t>
  </si>
  <si>
    <t>04524-010</t>
  </si>
  <si>
    <t>CLI-0023</t>
  </si>
  <si>
    <t>Wesley Gonçalves Luz</t>
  </si>
  <si>
    <t>Rua Caminho do Mar</t>
  </si>
  <si>
    <t>Casa 5</t>
  </si>
  <si>
    <t>Piatã</t>
  </si>
  <si>
    <t>41650-060</t>
  </si>
  <si>
    <t>CLI-0024</t>
  </si>
  <si>
    <t>Yasmin Castro Neves</t>
  </si>
  <si>
    <t>Avenida Primavera</t>
  </si>
  <si>
    <t>Apto 12</t>
  </si>
  <si>
    <t>Setor Oeste</t>
  </si>
  <si>
    <t>74120-030</t>
  </si>
  <si>
    <t>CLI-0025</t>
  </si>
  <si>
    <t>André Luiz Farias</t>
  </si>
  <si>
    <t>Rua Campo Belo</t>
  </si>
  <si>
    <t>Boa Viagem</t>
  </si>
  <si>
    <t>51021-250</t>
  </si>
  <si>
    <t>CLI-0026</t>
  </si>
  <si>
    <t>Bianca Duarte Peixoto</t>
  </si>
  <si>
    <t>Rua Estrela do Norte</t>
  </si>
  <si>
    <t>Campo Grande</t>
  </si>
  <si>
    <t>MS</t>
  </si>
  <si>
    <t>79002-072</t>
  </si>
  <si>
    <t>CLI-0027</t>
  </si>
  <si>
    <t>Caio Vinícius Braga</t>
  </si>
  <si>
    <t>Avenida Beira Rio</t>
  </si>
  <si>
    <t>Apto 84</t>
  </si>
  <si>
    <t>Jardins</t>
  </si>
  <si>
    <t>Aracaju</t>
  </si>
  <si>
    <t>SE</t>
  </si>
  <si>
    <t>49025-040</t>
  </si>
  <si>
    <t>CLI-0028</t>
  </si>
  <si>
    <t>Débora Machado Torres</t>
  </si>
  <si>
    <t>Rua Lua Nova</t>
  </si>
  <si>
    <t>Tirol</t>
  </si>
  <si>
    <t>Natal</t>
  </si>
  <si>
    <t>RN</t>
  </si>
  <si>
    <t>59020-300</t>
  </si>
  <si>
    <t>CLI-0029</t>
  </si>
  <si>
    <t>Erick Santana Coelho</t>
  </si>
  <si>
    <t>Travessa do Bosque</t>
  </si>
  <si>
    <t>João Pessoa</t>
  </si>
  <si>
    <t>PB</t>
  </si>
  <si>
    <t>58010-450</t>
  </si>
  <si>
    <t>CLI-0030</t>
  </si>
  <si>
    <t>Fernanda Xavier Brito</t>
  </si>
  <si>
    <t>Rua Ventos do Sul</t>
  </si>
  <si>
    <t>Apto 33</t>
  </si>
  <si>
    <t>Moinhos de Vento</t>
  </si>
  <si>
    <t>90570-080</t>
  </si>
  <si>
    <t>CPF</t>
  </si>
  <si>
    <t>184.726.390-41</t>
  </si>
  <si>
    <t>507.318.264-09</t>
  </si>
  <si>
    <t>692.145.837-20</t>
  </si>
  <si>
    <t>431.980.275-64</t>
  </si>
  <si>
    <t>758.204.619-35</t>
  </si>
  <si>
    <t>926.471.583-02</t>
  </si>
  <si>
    <t>315.867.492-16</t>
  </si>
  <si>
    <t>840.253.761-98</t>
  </si>
  <si>
    <t>273.694.108-57</t>
  </si>
  <si>
    <t>619.425.873-01</t>
  </si>
  <si>
    <t>105.738.946-22</t>
  </si>
  <si>
    <t>564.209.317-80</t>
  </si>
  <si>
    <t>387.641.925-43</t>
  </si>
  <si>
    <t>972.306.481-15</t>
  </si>
  <si>
    <t>248.913.750-66</t>
  </si>
  <si>
    <t>731.582.469-04</t>
  </si>
  <si>
    <t>456.170.328-91</t>
  </si>
  <si>
    <t>893.247.615-30</t>
  </si>
  <si>
    <t>320.864.197-52</t>
  </si>
  <si>
    <t>675.139.284-08</t>
  </si>
  <si>
    <t>149.503.826-74</t>
  </si>
  <si>
    <t>804.716.392-19</t>
  </si>
  <si>
    <t>537.928.140-63</t>
  </si>
  <si>
    <t>261.475.839-27</t>
  </si>
  <si>
    <t>918.350.624-45</t>
  </si>
  <si>
    <t>402.689.175-96</t>
  </si>
  <si>
    <t>786.214.503-11</t>
  </si>
  <si>
    <t>359.871.246-38</t>
  </si>
  <si>
    <t>624.093.718-50</t>
  </si>
  <si>
    <t>170.562.984-23</t>
  </si>
  <si>
    <t>ID Produto</t>
  </si>
  <si>
    <t>Descrição</t>
  </si>
  <si>
    <t>Categoria</t>
  </si>
  <si>
    <t>Preço de Custo</t>
  </si>
  <si>
    <t>Preço de Venda</t>
  </si>
  <si>
    <t>PROD-0001</t>
  </si>
  <si>
    <t>Arroz Branco Tipo 1 - 5 kg</t>
  </si>
  <si>
    <t>Mercearia</t>
  </si>
  <si>
    <t>PROD-0002</t>
  </si>
  <si>
    <t>Feijão Carioca - 1 kg</t>
  </si>
  <si>
    <t>PROD-0003</t>
  </si>
  <si>
    <t>Açúcar Refinado - 1 kg</t>
  </si>
  <si>
    <t>PROD-0004</t>
  </si>
  <si>
    <t>Sal Refinado - 1 kg</t>
  </si>
  <si>
    <t>PROD-0005</t>
  </si>
  <si>
    <t>Farinha de Trigo - 1 kg</t>
  </si>
  <si>
    <t>PROD-0006</t>
  </si>
  <si>
    <t>Macarrão Espaguete - 500 g</t>
  </si>
  <si>
    <t>Massas</t>
  </si>
  <si>
    <t>PROD-0007</t>
  </si>
  <si>
    <t>Molho de Tomate Tradicional - 300 g</t>
  </si>
  <si>
    <t>Molhos</t>
  </si>
  <si>
    <t>PROD-0008</t>
  </si>
  <si>
    <t>Óleo de Soja - 900 ml</t>
  </si>
  <si>
    <t>PROD-0009</t>
  </si>
  <si>
    <t>Azeite de Oliva Extra Virgem - 500 ml</t>
  </si>
  <si>
    <t>PROD-0010</t>
  </si>
  <si>
    <t>Café Torrado e Moído - 500 g</t>
  </si>
  <si>
    <t>Bebidas</t>
  </si>
  <si>
    <t>PROD-0011</t>
  </si>
  <si>
    <t>Leite Integral UHT - 1 L</t>
  </si>
  <si>
    <t>Laticínios</t>
  </si>
  <si>
    <t>PROD-0012</t>
  </si>
  <si>
    <t>Leite Desnatado UHT - 1 L</t>
  </si>
  <si>
    <t>PROD-0013</t>
  </si>
  <si>
    <t>Manteiga com Sal - 200 g</t>
  </si>
  <si>
    <t>PROD-0014</t>
  </si>
  <si>
    <t>Margarina Cremosa - 500 g</t>
  </si>
  <si>
    <t>PROD-0015</t>
  </si>
  <si>
    <t>Queijo Mussarela Fatiado - 200 g</t>
  </si>
  <si>
    <t>Frios</t>
  </si>
  <si>
    <t>PROD-0016</t>
  </si>
  <si>
    <t>Presunto Cozido Fatiado - 200 g</t>
  </si>
  <si>
    <t>PROD-0017</t>
  </si>
  <si>
    <t>Iogurte Natural - 170 g</t>
  </si>
  <si>
    <t>PROD-0018</t>
  </si>
  <si>
    <t>Requeijão Cremoso - 200 g</t>
  </si>
  <si>
    <t>PROD-0019</t>
  </si>
  <si>
    <t>Ovos Brancos - Dúzia</t>
  </si>
  <si>
    <t>Hortifrúti</t>
  </si>
  <si>
    <t>PROD-0020</t>
  </si>
  <si>
    <t>Pão de Forma Tradicional - 500 g</t>
  </si>
  <si>
    <t>Padaria</t>
  </si>
  <si>
    <t>PROD-0021</t>
  </si>
  <si>
    <t>Biscoito Cream Cracker - 350 g</t>
  </si>
  <si>
    <t>Biscoitos</t>
  </si>
  <si>
    <t>PROD-0022</t>
  </si>
  <si>
    <t>Biscoito Recheado Chocolate - 130 g</t>
  </si>
  <si>
    <t>PROD-0023</t>
  </si>
  <si>
    <t>Cereal Matinal de Milho - 300 g</t>
  </si>
  <si>
    <t>Cereais</t>
  </si>
  <si>
    <t>PROD-0024</t>
  </si>
  <si>
    <t>Achocolatado em Pó - 400 g</t>
  </si>
  <si>
    <t>PROD-0025</t>
  </si>
  <si>
    <t>Suco de Laranja Integral - 1 L</t>
  </si>
  <si>
    <t>PROD-0026</t>
  </si>
  <si>
    <t>Refrigerante Cola - 2 L</t>
  </si>
  <si>
    <t>PROD-0027</t>
  </si>
  <si>
    <t>Água Mineral sem Gás - 1,5 L</t>
  </si>
  <si>
    <t>PROD-0028</t>
  </si>
  <si>
    <t>Cerveja Pilsen Lata - 350 ml</t>
  </si>
  <si>
    <t>PROD-0029</t>
  </si>
  <si>
    <t>Detergente Líquido Neutro - 500 ml</t>
  </si>
  <si>
    <t>Limpeza</t>
  </si>
  <si>
    <t>PROD-0030</t>
  </si>
  <si>
    <t>Sabão em Pó - 1,6 kg</t>
  </si>
  <si>
    <t>PROD-0031</t>
  </si>
  <si>
    <t>Amaciante de Roupas - 2 L</t>
  </si>
  <si>
    <t>PROD-0032</t>
  </si>
  <si>
    <t>Água Sanitária - 2 L</t>
  </si>
  <si>
    <t>PROD-0033</t>
  </si>
  <si>
    <t>Desinfetante Lavanda - 2 L</t>
  </si>
  <si>
    <t>PROD-0034</t>
  </si>
  <si>
    <t>Esponja Multiuso - 3 unidades</t>
  </si>
  <si>
    <t>PROD-0035</t>
  </si>
  <si>
    <t>Papel Higiênico Folha Dupla - 12 rolos</t>
  </si>
  <si>
    <t>Higiene</t>
  </si>
  <si>
    <t>PROD-0036</t>
  </si>
  <si>
    <t>Sabonete em Barra - 85 g</t>
  </si>
  <si>
    <t>PROD-0037</t>
  </si>
  <si>
    <t>Shampoo Uso Diário - 350 ml</t>
  </si>
  <si>
    <t>PROD-0038</t>
  </si>
  <si>
    <t>Condicionador Uso Diário - 350 ml</t>
  </si>
  <si>
    <t>PROD-0039</t>
  </si>
  <si>
    <t>Creme Dental - 90 g</t>
  </si>
  <si>
    <t>PROD-0040</t>
  </si>
  <si>
    <t>Desodorante Aerossol - 150 ml</t>
  </si>
  <si>
    <t>PROD-0041</t>
  </si>
  <si>
    <t>Fralda Descartável Tamanho M - 24 unidades</t>
  </si>
  <si>
    <t>Higiene Infantil</t>
  </si>
  <si>
    <t>PROD-0042</t>
  </si>
  <si>
    <t>Absorvente com Abas - 8 unidades</t>
  </si>
  <si>
    <t>PROD-0043</t>
  </si>
  <si>
    <t>Banana Prata - kg</t>
  </si>
  <si>
    <t>PROD-0044</t>
  </si>
  <si>
    <t>Maçã Gala - kg</t>
  </si>
  <si>
    <t>PROD-0045</t>
  </si>
  <si>
    <t>Tomate Italiano - kg</t>
  </si>
  <si>
    <t>PROD-0046</t>
  </si>
  <si>
    <t>Batata Inglesa - kg</t>
  </si>
  <si>
    <t>PROD-0047</t>
  </si>
  <si>
    <t>Cebola - kg</t>
  </si>
  <si>
    <t>PROD-0048</t>
  </si>
  <si>
    <t>Peito de Frango Congelado - kg</t>
  </si>
  <si>
    <t>Carnes</t>
  </si>
  <si>
    <t>PROD-0049</t>
  </si>
  <si>
    <t>Carne Moída Bovina - kg</t>
  </si>
  <si>
    <t>PROD-0050</t>
  </si>
  <si>
    <t>Pizza Congelada Mussarela - 460 g</t>
  </si>
  <si>
    <t>Congelados</t>
  </si>
  <si>
    <t>ID do Cliente</t>
  </si>
  <si>
    <t>ID do Produto</t>
  </si>
  <si>
    <t>Qtde de Produtos Comprados</t>
  </si>
  <si>
    <t>Data da Compra</t>
  </si>
  <si>
    <t>Forma de Pagamento</t>
  </si>
  <si>
    <t>Cartão de Crédito</t>
  </si>
  <si>
    <t>PIX</t>
  </si>
  <si>
    <t>Cartão de Débito</t>
  </si>
  <si>
    <t>Dinheiro</t>
  </si>
  <si>
    <t>Vale-alimentação</t>
  </si>
  <si>
    <t>CADASTROS E HISTÓRICO DE COMPRAS</t>
  </si>
  <si>
    <t>Base fictícia integrada de clientes, produtos e compras para testes e análises.</t>
  </si>
  <si>
    <t>CONTEÚDO</t>
  </si>
  <si>
    <t>DESCRIÇÃO</t>
  </si>
  <si>
    <t>cadastro-clientes</t>
  </si>
  <si>
    <t>30 clientes com dados cadastrais e CPF.</t>
  </si>
  <si>
    <t>cadastro-produtos</t>
  </si>
  <si>
    <t>50 produtos de supermercado com custo e preço de venda.</t>
  </si>
  <si>
    <t>historico-compras</t>
  </si>
  <si>
    <t>100 compras dos últimos 12 meses, vinculadas por IDs.</t>
  </si>
  <si>
    <t>ID da Compra</t>
  </si>
  <si>
    <t>COMP-00001</t>
  </si>
  <si>
    <t>COMP-00002</t>
  </si>
  <si>
    <t>COMP-00003</t>
  </si>
  <si>
    <t>COMP-00004</t>
  </si>
  <si>
    <t>COMP-00005</t>
  </si>
  <si>
    <t>COMP-00006</t>
  </si>
  <si>
    <t>COMP-00007</t>
  </si>
  <si>
    <t>COMP-00008</t>
  </si>
  <si>
    <t>COMP-00009</t>
  </si>
  <si>
    <t>COMP-00010</t>
  </si>
  <si>
    <t>COMP-00011</t>
  </si>
  <si>
    <t>COMP-00012</t>
  </si>
  <si>
    <t>COMP-00013</t>
  </si>
  <si>
    <t>COMP-00014</t>
  </si>
  <si>
    <t>COMP-00015</t>
  </si>
  <si>
    <t>COMP-00016</t>
  </si>
  <si>
    <t>COMP-00017</t>
  </si>
  <si>
    <t>COMP-00018</t>
  </si>
  <si>
    <t>COMP-00019</t>
  </si>
  <si>
    <t>COMP-00020</t>
  </si>
  <si>
    <t>COMP-00021</t>
  </si>
  <si>
    <t>COMP-00022</t>
  </si>
  <si>
    <t>COMP-00023</t>
  </si>
  <si>
    <t>COMP-00024</t>
  </si>
  <si>
    <t>COMP-00025</t>
  </si>
  <si>
    <t>COMP-00026</t>
  </si>
  <si>
    <t>COMP-00027</t>
  </si>
  <si>
    <t>COMP-00028</t>
  </si>
  <si>
    <t>COMP-00029</t>
  </si>
  <si>
    <t>COMP-00030</t>
  </si>
  <si>
    <t>COMP-00031</t>
  </si>
  <si>
    <t>COMP-00032</t>
  </si>
  <si>
    <t>COMP-00033</t>
  </si>
  <si>
    <t>COMP-00034</t>
  </si>
  <si>
    <t>COMP-00035</t>
  </si>
  <si>
    <t>COMP-00036</t>
  </si>
  <si>
    <t>COMP-00037</t>
  </si>
  <si>
    <t>COMP-00038</t>
  </si>
  <si>
    <t>COMP-00039</t>
  </si>
  <si>
    <t>COMP-00040</t>
  </si>
  <si>
    <t>COMP-00041</t>
  </si>
  <si>
    <t>COMP-00042</t>
  </si>
  <si>
    <t>COMP-00043</t>
  </si>
  <si>
    <t>COMP-00044</t>
  </si>
  <si>
    <t>COMP-00045</t>
  </si>
  <si>
    <t>COMP-00046</t>
  </si>
  <si>
    <t>COMP-00047</t>
  </si>
  <si>
    <t>COMP-00048</t>
  </si>
  <si>
    <t>COMP-00049</t>
  </si>
  <si>
    <t>COMP-00050</t>
  </si>
  <si>
    <t>COMP-00051</t>
  </si>
  <si>
    <t>COMP-00052</t>
  </si>
  <si>
    <t>COMP-00053</t>
  </si>
  <si>
    <t>COMP-00054</t>
  </si>
  <si>
    <t>COMP-00055</t>
  </si>
  <si>
    <t>COMP-00056</t>
  </si>
  <si>
    <t>COMP-00057</t>
  </si>
  <si>
    <t>COMP-00058</t>
  </si>
  <si>
    <t>COMP-00059</t>
  </si>
  <si>
    <t>COMP-00060</t>
  </si>
  <si>
    <t>COMP-00061</t>
  </si>
  <si>
    <t>COMP-00062</t>
  </si>
  <si>
    <t>COMP-00063</t>
  </si>
  <si>
    <t>COMP-00064</t>
  </si>
  <si>
    <t>COMP-00065</t>
  </si>
  <si>
    <t>COMP-00066</t>
  </si>
  <si>
    <t>COMP-00067</t>
  </si>
  <si>
    <t>COMP-00068</t>
  </si>
  <si>
    <t>COMP-00069</t>
  </si>
  <si>
    <t>COMP-00070</t>
  </si>
  <si>
    <t>COMP-00071</t>
  </si>
  <si>
    <t>COMP-00072</t>
  </si>
  <si>
    <t>COMP-00073</t>
  </si>
  <si>
    <t>COMP-00074</t>
  </si>
  <si>
    <t>COMP-00075</t>
  </si>
  <si>
    <t>COMP-00076</t>
  </si>
  <si>
    <t>COMP-00077</t>
  </si>
  <si>
    <t>COMP-00078</t>
  </si>
  <si>
    <t>COMP-00079</t>
  </si>
  <si>
    <t>COMP-00080</t>
  </si>
  <si>
    <t>COMP-00081</t>
  </si>
  <si>
    <t>COMP-00082</t>
  </si>
  <si>
    <t>COMP-00083</t>
  </si>
  <si>
    <t>COMP-00084</t>
  </si>
  <si>
    <t>COMP-00085</t>
  </si>
  <si>
    <t>COMP-00086</t>
  </si>
  <si>
    <t>COMP-00087</t>
  </si>
  <si>
    <t>COMP-00088</t>
  </si>
  <si>
    <t>COMP-00089</t>
  </si>
  <si>
    <t>COMP-00090</t>
  </si>
  <si>
    <t>COMP-00091</t>
  </si>
  <si>
    <t>COMP-00092</t>
  </si>
  <si>
    <t>COMP-00093</t>
  </si>
  <si>
    <t>COMP-00094</t>
  </si>
  <si>
    <t>COMP-00095</t>
  </si>
  <si>
    <t>COMP-00096</t>
  </si>
  <si>
    <t>COMP-00097</t>
  </si>
  <si>
    <t>COMP-00098</t>
  </si>
  <si>
    <t>COMP-00099</t>
  </si>
  <si>
    <t>COMP-00100</t>
  </si>
  <si>
    <t>Valor Total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</si>
</sst>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8"/>
      <color rgb="FFFFFFFF"/>
      <name val="Aptos"/>
    </font>
    <font>
      <sz val="11"/>
      <color theme="1"/>
      <name val="Aptos"/>
    </font>
    <font>
      <i/>
      <sz val="11"/>
      <color rgb="FF555555"/>
      <name val="Aptos"/>
    </font>
    <font>
      <b/>
      <sz val="11"/>
      <color rgb="FFFFFFFF"/>
      <name val="Aptos"/>
    </font>
    <font>
      <b/>
      <sz val="11"/>
      <color rgb="FF1F4E78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29">
    <dxf>
      <font>
        <name val="Aptos"/>
      </font>
      <alignment horizontal="center" vertical="center"/>
    </dxf>
    <dxf>
      <font>
        <name val="Aptos"/>
      </font>
      <numFmt numFmtId="165" formatCode="&quot;R$&quot;\ #,##0.00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19" formatCode="dd/mm/yyyy"/>
      <alignment horizontal="center" vertical="center"/>
    </dxf>
    <dxf>
      <font>
        <name val="Aptos"/>
      </font>
      <numFmt numFmtId="1" formatCode="0"/>
      <alignment horizontal="center" vertical="center"/>
    </dxf>
    <dxf>
      <font>
        <name val="Aptos"/>
      </font>
      <alignment horizontal="center" vertical="center"/>
    </dxf>
    <dxf>
      <font>
        <name val="Aptos"/>
      </font>
      <alignment horizontal="center" vertical="center"/>
    </dxf>
    <dxf>
      <font>
        <name val="Aptos"/>
      </font>
      <numFmt numFmtId="165" formatCode="&quot;R$&quot;\ #,##0.00"/>
      <alignment horizontal="right" vertical="center"/>
    </dxf>
    <dxf>
      <font>
        <name val="Aptos"/>
      </font>
      <numFmt numFmtId="165" formatCode="&quot;R$&quot;\ #,##0.00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horizontal="center" vertical="center"/>
    </dxf>
    <dxf>
      <font>
        <name val="Aptos"/>
      </font>
      <alignment vertical="center"/>
    </dxf>
    <dxf>
      <font>
        <name val="Aptos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30" formatCode="@"/>
      <alignment horizontal="center" vertical="center" textRotation="0" wrapText="0" indent="0" justifyLastLine="0" shrinkToFit="0" readingOrder="0"/>
    </dxf>
    <dxf>
      <font>
        <name val="Aptos"/>
      </font>
      <alignment horizontal="center" vertical="center" textRotation="0" wrapText="0" indent="0" justifyLastLine="0" shrinkToFit="0" readingOrder="0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1" formatCode="0"/>
      <alignment horizontal="center" vertical="center" textRotation="0" wrapText="0" indent="0" justifyLastLine="0" shrinkToFit="0" readingOrder="0"/>
    </dxf>
    <dxf>
      <font>
        <name val="Aptos"/>
      </font>
      <alignment vertical="center"/>
    </dxf>
    <dxf>
      <font>
        <name val="Aptos"/>
      </font>
      <numFmt numFmtId="19" formatCode="dd/mm/yyyy"/>
      <alignment horizontal="center" vertical="center" textRotation="0" wrapText="0" indent="0" justifyLastLine="0" shrinkToFit="0" readingOrder="0"/>
    </dxf>
    <dxf>
      <font>
        <name val="Aptos"/>
      </font>
      <alignment vertical="center"/>
    </dxf>
    <dxf>
      <font>
        <name val="Aptos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52680-9895-4775-9338-0B8066D4B1C3}" name="ClientesCadastro" displayName="ClientesCadastro" ref="A1:K31" totalsRowShown="0" headerRowDxfId="18" dataDxfId="17">
  <autoFilter ref="A1:K31" xr:uid="{B6152680-9895-4775-9338-0B8066D4B1C3}"/>
  <tableColumns count="11">
    <tableColumn id="1" xr3:uid="{06D5E233-9533-4C78-B546-C50C0B959799}" name="ID Cliente" dataDxfId="28"/>
    <tableColumn id="2" xr3:uid="{4F1C3C77-3B3E-4BB4-BA5A-B4DDD2BFF6A6}" name="Nome Cliente" dataDxfId="27"/>
    <tableColumn id="3" xr3:uid="{4F1F7E43-0AC2-4BA4-9535-B3F1D99C0AF3}" name="Data Nascimento" dataDxfId="26"/>
    <tableColumn id="11" xr3:uid="{861AEF9B-7BDB-4144-ADEA-E452DAA5EF64}" name="CPF" dataDxfId="16"/>
    <tableColumn id="4" xr3:uid="{6F183D13-89AD-4082-82CE-429579E98DCA}" name="Endereço" dataDxfId="25"/>
    <tableColumn id="5" xr3:uid="{2E3E8EC4-62EE-4866-BE07-DC31D9B340F4}" name="Número" dataDxfId="24"/>
    <tableColumn id="6" xr3:uid="{3628FFC6-E823-43CE-ACB8-13D742DC7ECC}" name="Complemento" dataDxfId="23"/>
    <tableColumn id="7" xr3:uid="{177BD1F9-9FFE-482B-AC86-A9A511E86B9C}" name="Bairro" dataDxfId="22"/>
    <tableColumn id="8" xr3:uid="{4D95EDA2-8EA7-4AF6-BCF6-AF3E1D9597D0}" name="Cidade" dataDxfId="21"/>
    <tableColumn id="9" xr3:uid="{61F50CB6-E8D2-496F-9CF8-834A839A3688}" name="Estado" dataDxfId="20"/>
    <tableColumn id="10" xr3:uid="{11400029-12BF-45F2-8C0F-190D660D7311}" name="CEP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EB515C-B065-4DF0-BAD3-AFBE801B19BB}" name="ProdutosCadastro" displayName="ProdutosCadastro" ref="A1:E51" totalsRowShown="0" headerRowDxfId="12" dataDxfId="11">
  <autoFilter ref="A1:E51" xr:uid="{D7EB515C-B065-4DF0-BAD3-AFBE801B19BB}"/>
  <tableColumns count="5">
    <tableColumn id="1" xr3:uid="{C07CD926-1E67-41AB-9EED-43E1924F16A8}" name="ID Produto" dataDxfId="15"/>
    <tableColumn id="2" xr3:uid="{CC7A0AA0-BDB2-4DA8-8842-A61CF44A539D}" name="Descrição" dataDxfId="14"/>
    <tableColumn id="3" xr3:uid="{B79DA46B-522D-4EA2-BED2-ADAB299EC4EB}" name="Categoria" dataDxfId="13"/>
    <tableColumn id="4" xr3:uid="{FBA4489A-4369-4310-8874-B8FCE80BF31E}" name="Preço de Custo" dataDxfId="10"/>
    <tableColumn id="5" xr3:uid="{60B77C81-2AF5-4E6A-B47A-E2978C596DE9}" name="Preço de Venda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B77A42-CE07-4990-80A9-5087AE8767DC}" name="HistoricoCompras" displayName="HistoricoCompras" ref="A1:G101" totalsRowShown="0" headerRowDxfId="3" dataDxfId="2">
  <autoFilter ref="A1:G101" xr:uid="{5EB77A42-CE07-4990-80A9-5087AE8767DC}"/>
  <tableColumns count="7">
    <tableColumn id="6" xr3:uid="{3DC13C68-1B24-4EB3-91A7-5D80888047B9}" name="ID da Compra" dataDxfId="0"/>
    <tableColumn id="1" xr3:uid="{5F08D02C-C6C6-4331-A452-5154F479E3E0}" name="ID do Cliente" dataDxfId="8"/>
    <tableColumn id="2" xr3:uid="{86D1FC0A-A33C-4D4C-83F4-38636652D755}" name="ID do Produto" dataDxfId="7"/>
    <tableColumn id="3" xr3:uid="{A364927A-F2E6-426C-9ADF-1FA576DAAEEB}" name="Qtde de Produtos Comprados" dataDxfId="6"/>
    <tableColumn id="4" xr3:uid="{82B5DAFF-D205-46AE-9BB8-2150EF15590B}" name="Data da Compra" dataDxfId="5"/>
    <tableColumn id="5" xr3:uid="{36666EF0-AE29-4A6C-A27C-060215D40765}" name="Forma de Pagamento" dataDxfId="4"/>
    <tableColumn id="7" xr3:uid="{ADB22726-4A74-4104-9508-F5B8A7530598}" name="Valor Total Pago" dataDxfId="1">
      <calculatedColumnFormula>_xlfn.XLOOKUP(HistoricoCompras[[#This Row],[ID do Produto]],ProdutosCadastro[ID Produto],ProdutosCadastro[Preço de Venda])*HistoricoCompras[[#This Row],[Qtde de Produtos Comprados]]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88A3-7056-44EE-A6CA-C0A678D685DA}">
  <dimension ref="A1:B9"/>
  <sheetViews>
    <sheetView workbookViewId="0">
      <selection sqref="A1:B1"/>
    </sheetView>
  </sheetViews>
  <sheetFormatPr defaultRowHeight="14.4" x14ac:dyDescent="0.3"/>
  <cols>
    <col min="1" max="2" width="37" customWidth="1"/>
  </cols>
  <sheetData>
    <row r="1" spans="1:2" ht="30" customHeight="1" x14ac:dyDescent="0.3">
      <c r="A1" s="1" t="s">
        <v>379</v>
      </c>
      <c r="B1" s="1"/>
    </row>
    <row r="2" spans="1:2" ht="24" customHeight="1" x14ac:dyDescent="0.3">
      <c r="A2" s="8" t="s">
        <v>380</v>
      </c>
      <c r="B2" s="8"/>
    </row>
    <row r="3" spans="1:2" x14ac:dyDescent="0.3">
      <c r="A3" s="2"/>
      <c r="B3" s="2"/>
    </row>
    <row r="4" spans="1:2" x14ac:dyDescent="0.3">
      <c r="A4" s="2"/>
      <c r="B4" s="2"/>
    </row>
    <row r="5" spans="1:2" x14ac:dyDescent="0.3">
      <c r="A5" s="2"/>
      <c r="B5" s="2"/>
    </row>
    <row r="6" spans="1:2" x14ac:dyDescent="0.3">
      <c r="A6" s="9" t="s">
        <v>381</v>
      </c>
      <c r="B6" s="9" t="s">
        <v>382</v>
      </c>
    </row>
    <row r="7" spans="1:2" x14ac:dyDescent="0.3">
      <c r="A7" s="10" t="s">
        <v>383</v>
      </c>
      <c r="B7" s="12" t="s">
        <v>384</v>
      </c>
    </row>
    <row r="8" spans="1:2" ht="28.8" x14ac:dyDescent="0.3">
      <c r="A8" s="10" t="s">
        <v>385</v>
      </c>
      <c r="B8" s="12" t="s">
        <v>386</v>
      </c>
    </row>
    <row r="9" spans="1:2" ht="28.8" x14ac:dyDescent="0.3">
      <c r="A9" s="11" t="s">
        <v>387</v>
      </c>
      <c r="B9" s="13" t="s">
        <v>388</v>
      </c>
    </row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C6C0-7313-4FB6-ADA4-9322C0441C11}">
  <dimension ref="A1:K31"/>
  <sheetViews>
    <sheetView workbookViewId="0">
      <selection activeCell="E14" sqref="E14"/>
    </sheetView>
  </sheetViews>
  <sheetFormatPr defaultRowHeight="14.4" x14ac:dyDescent="0.3"/>
  <cols>
    <col min="1" max="1" width="13" customWidth="1"/>
    <col min="2" max="2" width="23.109375" customWidth="1"/>
    <col min="3" max="3" width="14.44140625" customWidth="1"/>
    <col min="4" max="4" width="16.33203125" customWidth="1"/>
    <col min="5" max="5" width="21.77734375" bestFit="1" customWidth="1"/>
    <col min="6" max="6" width="17.5546875" customWidth="1"/>
    <col min="7" max="7" width="15.77734375" customWidth="1"/>
    <col min="8" max="8" width="17.5546875" customWidth="1"/>
    <col min="9" max="9" width="8.33203125" customWidth="1"/>
    <col min="10" max="10" width="13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218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3" t="s">
        <v>10</v>
      </c>
      <c r="B2" s="2" t="s">
        <v>11</v>
      </c>
      <c r="C2" s="4">
        <v>31538</v>
      </c>
      <c r="D2" s="6" t="s">
        <v>219</v>
      </c>
      <c r="E2" s="2" t="s">
        <v>12</v>
      </c>
      <c r="F2" s="5">
        <v>128</v>
      </c>
      <c r="G2" s="2" t="s">
        <v>13</v>
      </c>
      <c r="H2" s="2" t="s">
        <v>14</v>
      </c>
      <c r="I2" s="2" t="s">
        <v>15</v>
      </c>
      <c r="J2" s="3" t="s">
        <v>16</v>
      </c>
      <c r="K2" s="6" t="s">
        <v>17</v>
      </c>
    </row>
    <row r="3" spans="1:11" x14ac:dyDescent="0.3">
      <c r="A3" s="3" t="s">
        <v>18</v>
      </c>
      <c r="B3" s="2" t="s">
        <v>19</v>
      </c>
      <c r="C3" s="4">
        <v>29067</v>
      </c>
      <c r="D3" s="6" t="s">
        <v>220</v>
      </c>
      <c r="E3" s="2" t="s">
        <v>20</v>
      </c>
      <c r="F3" s="5">
        <v>845</v>
      </c>
      <c r="G3" s="2" t="s">
        <v>21</v>
      </c>
      <c r="H3" s="2" t="s">
        <v>22</v>
      </c>
      <c r="I3" s="2" t="s">
        <v>23</v>
      </c>
      <c r="J3" s="3" t="s">
        <v>16</v>
      </c>
      <c r="K3" s="6" t="s">
        <v>24</v>
      </c>
    </row>
    <row r="4" spans="1:11" x14ac:dyDescent="0.3">
      <c r="A4" s="3" t="s">
        <v>25</v>
      </c>
      <c r="B4" s="2" t="s">
        <v>26</v>
      </c>
      <c r="C4" s="4">
        <v>33740</v>
      </c>
      <c r="D4" s="6" t="s">
        <v>221</v>
      </c>
      <c r="E4" s="2" t="s">
        <v>27</v>
      </c>
      <c r="F4" s="5">
        <v>57</v>
      </c>
      <c r="G4" s="2" t="s">
        <v>28</v>
      </c>
      <c r="H4" s="2" t="s">
        <v>29</v>
      </c>
      <c r="I4" s="2" t="s">
        <v>30</v>
      </c>
      <c r="J4" s="3" t="s">
        <v>31</v>
      </c>
      <c r="K4" s="6" t="s">
        <v>32</v>
      </c>
    </row>
    <row r="5" spans="1:11" x14ac:dyDescent="0.3">
      <c r="A5" s="3" t="s">
        <v>33</v>
      </c>
      <c r="B5" s="2" t="s">
        <v>34</v>
      </c>
      <c r="C5" s="4">
        <v>27334</v>
      </c>
      <c r="D5" s="6" t="s">
        <v>222</v>
      </c>
      <c r="E5" s="2" t="s">
        <v>35</v>
      </c>
      <c r="F5" s="5">
        <v>219</v>
      </c>
      <c r="G5" s="2" t="s">
        <v>36</v>
      </c>
      <c r="H5" s="2" t="s">
        <v>37</v>
      </c>
      <c r="I5" s="2" t="s">
        <v>38</v>
      </c>
      <c r="J5" s="3" t="s">
        <v>39</v>
      </c>
      <c r="K5" s="6" t="s">
        <v>40</v>
      </c>
    </row>
    <row r="6" spans="1:11" x14ac:dyDescent="0.3">
      <c r="A6" s="3" t="s">
        <v>41</v>
      </c>
      <c r="B6" s="2" t="s">
        <v>42</v>
      </c>
      <c r="C6" s="4">
        <v>34964</v>
      </c>
      <c r="D6" s="6" t="s">
        <v>223</v>
      </c>
      <c r="E6" s="2" t="s">
        <v>43</v>
      </c>
      <c r="F6" s="5">
        <v>431</v>
      </c>
      <c r="G6" s="2" t="s">
        <v>44</v>
      </c>
      <c r="H6" s="2" t="s">
        <v>45</v>
      </c>
      <c r="I6" s="2" t="s">
        <v>46</v>
      </c>
      <c r="J6" s="3" t="s">
        <v>47</v>
      </c>
      <c r="K6" s="6" t="s">
        <v>48</v>
      </c>
    </row>
    <row r="7" spans="1:11" x14ac:dyDescent="0.3">
      <c r="A7" s="3" t="s">
        <v>49</v>
      </c>
      <c r="B7" s="2" t="s">
        <v>50</v>
      </c>
      <c r="C7" s="4">
        <v>30182</v>
      </c>
      <c r="D7" s="6" t="s">
        <v>224</v>
      </c>
      <c r="E7" s="2" t="s">
        <v>51</v>
      </c>
      <c r="F7" s="5">
        <v>92</v>
      </c>
      <c r="G7" s="2" t="s">
        <v>52</v>
      </c>
      <c r="H7" s="2" t="s">
        <v>53</v>
      </c>
      <c r="I7" s="2" t="s">
        <v>54</v>
      </c>
      <c r="J7" s="3" t="s">
        <v>55</v>
      </c>
      <c r="K7" s="6" t="s">
        <v>56</v>
      </c>
    </row>
    <row r="8" spans="1:11" x14ac:dyDescent="0.3">
      <c r="A8" s="3" t="s">
        <v>57</v>
      </c>
      <c r="B8" s="2" t="s">
        <v>58</v>
      </c>
      <c r="C8" s="4">
        <v>32499</v>
      </c>
      <c r="D8" s="6" t="s">
        <v>225</v>
      </c>
      <c r="E8" s="2" t="s">
        <v>59</v>
      </c>
      <c r="F8" s="5">
        <v>1500</v>
      </c>
      <c r="G8" s="2" t="s">
        <v>60</v>
      </c>
      <c r="H8" s="2" t="s">
        <v>61</v>
      </c>
      <c r="I8" s="2" t="s">
        <v>62</v>
      </c>
      <c r="J8" s="3" t="s">
        <v>63</v>
      </c>
      <c r="K8" s="6" t="s">
        <v>64</v>
      </c>
    </row>
    <row r="9" spans="1:11" x14ac:dyDescent="0.3">
      <c r="A9" s="3" t="s">
        <v>65</v>
      </c>
      <c r="B9" s="2" t="s">
        <v>66</v>
      </c>
      <c r="C9" s="4">
        <v>28644</v>
      </c>
      <c r="D9" s="6" t="s">
        <v>226</v>
      </c>
      <c r="E9" s="2" t="s">
        <v>67</v>
      </c>
      <c r="F9" s="5">
        <v>364</v>
      </c>
      <c r="G9" s="2" t="s">
        <v>68</v>
      </c>
      <c r="H9" s="2" t="s">
        <v>22</v>
      </c>
      <c r="I9" s="2" t="s">
        <v>69</v>
      </c>
      <c r="J9" s="3" t="s">
        <v>70</v>
      </c>
      <c r="K9" s="6" t="s">
        <v>71</v>
      </c>
    </row>
    <row r="10" spans="1:11" x14ac:dyDescent="0.3">
      <c r="A10" s="3" t="s">
        <v>72</v>
      </c>
      <c r="B10" s="2" t="s">
        <v>73</v>
      </c>
      <c r="C10" s="4">
        <v>35527</v>
      </c>
      <c r="D10" s="6" t="s">
        <v>227</v>
      </c>
      <c r="E10" s="2" t="s">
        <v>74</v>
      </c>
      <c r="F10" s="5">
        <v>75</v>
      </c>
      <c r="G10" s="2" t="s">
        <v>75</v>
      </c>
      <c r="H10" s="2" t="s">
        <v>76</v>
      </c>
      <c r="I10" s="2" t="s">
        <v>77</v>
      </c>
      <c r="J10" s="3" t="s">
        <v>78</v>
      </c>
      <c r="K10" s="6" t="s">
        <v>79</v>
      </c>
    </row>
    <row r="11" spans="1:11" x14ac:dyDescent="0.3">
      <c r="A11" s="3" t="s">
        <v>80</v>
      </c>
      <c r="B11" s="2" t="s">
        <v>81</v>
      </c>
      <c r="C11" s="4">
        <v>26749</v>
      </c>
      <c r="D11" s="6" t="s">
        <v>228</v>
      </c>
      <c r="E11" s="2" t="s">
        <v>82</v>
      </c>
      <c r="F11" s="5">
        <v>980</v>
      </c>
      <c r="G11" s="2" t="s">
        <v>83</v>
      </c>
      <c r="H11" s="2" t="s">
        <v>84</v>
      </c>
      <c r="I11" s="2" t="s">
        <v>85</v>
      </c>
      <c r="J11" s="3" t="s">
        <v>86</v>
      </c>
      <c r="K11" s="6" t="s">
        <v>87</v>
      </c>
    </row>
    <row r="12" spans="1:11" x14ac:dyDescent="0.3">
      <c r="A12" s="3" t="s">
        <v>88</v>
      </c>
      <c r="B12" s="2" t="s">
        <v>89</v>
      </c>
      <c r="C12" s="4">
        <v>33153</v>
      </c>
      <c r="D12" s="6" t="s">
        <v>229</v>
      </c>
      <c r="E12" s="2" t="s">
        <v>90</v>
      </c>
      <c r="F12" s="5">
        <v>246</v>
      </c>
      <c r="G12" s="2" t="s">
        <v>91</v>
      </c>
      <c r="H12" s="2" t="s">
        <v>92</v>
      </c>
      <c r="I12" s="2" t="s">
        <v>93</v>
      </c>
      <c r="J12" s="3" t="s">
        <v>94</v>
      </c>
      <c r="K12" s="6" t="s">
        <v>95</v>
      </c>
    </row>
    <row r="13" spans="1:11" x14ac:dyDescent="0.3">
      <c r="A13" s="3" t="s">
        <v>96</v>
      </c>
      <c r="B13" s="2" t="s">
        <v>97</v>
      </c>
      <c r="C13" s="4">
        <v>29794</v>
      </c>
      <c r="D13" s="6" t="s">
        <v>230</v>
      </c>
      <c r="E13" s="2" t="s">
        <v>98</v>
      </c>
      <c r="F13" s="5">
        <v>613</v>
      </c>
      <c r="G13" s="2" t="s">
        <v>36</v>
      </c>
      <c r="H13" s="2" t="s">
        <v>99</v>
      </c>
      <c r="I13" s="2" t="s">
        <v>100</v>
      </c>
      <c r="J13" s="3" t="s">
        <v>101</v>
      </c>
      <c r="K13" s="6" t="s">
        <v>102</v>
      </c>
    </row>
    <row r="14" spans="1:11" x14ac:dyDescent="0.3">
      <c r="A14" s="3" t="s">
        <v>103</v>
      </c>
      <c r="B14" s="2" t="s">
        <v>104</v>
      </c>
      <c r="C14" s="4">
        <v>34383</v>
      </c>
      <c r="D14" s="6" t="s">
        <v>231</v>
      </c>
      <c r="E14" s="2" t="s">
        <v>105</v>
      </c>
      <c r="F14" s="5">
        <v>188</v>
      </c>
      <c r="G14" s="2" t="s">
        <v>52</v>
      </c>
      <c r="H14" s="2" t="s">
        <v>106</v>
      </c>
      <c r="I14" s="2" t="s">
        <v>107</v>
      </c>
      <c r="J14" s="3" t="s">
        <v>108</v>
      </c>
      <c r="K14" s="6" t="s">
        <v>109</v>
      </c>
    </row>
    <row r="15" spans="1:11" x14ac:dyDescent="0.3">
      <c r="A15" s="3" t="s">
        <v>110</v>
      </c>
      <c r="B15" s="2" t="s">
        <v>111</v>
      </c>
      <c r="C15" s="4">
        <v>28164</v>
      </c>
      <c r="D15" s="6" t="s">
        <v>232</v>
      </c>
      <c r="E15" s="2" t="s">
        <v>112</v>
      </c>
      <c r="F15" s="5">
        <v>727</v>
      </c>
      <c r="G15" s="2" t="s">
        <v>113</v>
      </c>
      <c r="H15" s="2" t="s">
        <v>114</v>
      </c>
      <c r="I15" s="2" t="s">
        <v>115</v>
      </c>
      <c r="J15" s="3" t="s">
        <v>116</v>
      </c>
      <c r="K15" s="6" t="s">
        <v>117</v>
      </c>
    </row>
    <row r="16" spans="1:11" x14ac:dyDescent="0.3">
      <c r="A16" s="3" t="s">
        <v>118</v>
      </c>
      <c r="B16" s="2" t="s">
        <v>119</v>
      </c>
      <c r="C16" s="4">
        <v>36116</v>
      </c>
      <c r="D16" s="6" t="s">
        <v>233</v>
      </c>
      <c r="E16" s="2" t="s">
        <v>120</v>
      </c>
      <c r="F16" s="5">
        <v>305</v>
      </c>
      <c r="G16" s="2" t="s">
        <v>121</v>
      </c>
      <c r="H16" s="2" t="s">
        <v>122</v>
      </c>
      <c r="I16" s="2" t="s">
        <v>123</v>
      </c>
      <c r="J16" s="3" t="s">
        <v>124</v>
      </c>
      <c r="K16" s="6" t="s">
        <v>125</v>
      </c>
    </row>
    <row r="17" spans="1:11" x14ac:dyDescent="0.3">
      <c r="A17" s="3" t="s">
        <v>126</v>
      </c>
      <c r="B17" s="2" t="s">
        <v>127</v>
      </c>
      <c r="C17" s="4">
        <v>25872</v>
      </c>
      <c r="D17" s="6" t="s">
        <v>234</v>
      </c>
      <c r="E17" s="2" t="s">
        <v>128</v>
      </c>
      <c r="F17" s="5">
        <v>44</v>
      </c>
      <c r="G17" s="2" t="s">
        <v>129</v>
      </c>
      <c r="H17" s="2" t="s">
        <v>22</v>
      </c>
      <c r="I17" s="2" t="s">
        <v>130</v>
      </c>
      <c r="J17" s="3" t="s">
        <v>131</v>
      </c>
      <c r="K17" s="6" t="s">
        <v>132</v>
      </c>
    </row>
    <row r="18" spans="1:11" x14ac:dyDescent="0.3">
      <c r="A18" s="3" t="s">
        <v>133</v>
      </c>
      <c r="B18" s="2" t="s">
        <v>134</v>
      </c>
      <c r="C18" s="4">
        <v>32032</v>
      </c>
      <c r="D18" s="6" t="s">
        <v>235</v>
      </c>
      <c r="E18" s="2" t="s">
        <v>135</v>
      </c>
      <c r="F18" s="5">
        <v>116</v>
      </c>
      <c r="G18" s="2" t="s">
        <v>136</v>
      </c>
      <c r="H18" s="2" t="s">
        <v>137</v>
      </c>
      <c r="I18" s="2" t="s">
        <v>77</v>
      </c>
      <c r="J18" s="3" t="s">
        <v>78</v>
      </c>
      <c r="K18" s="6" t="s">
        <v>138</v>
      </c>
    </row>
    <row r="19" spans="1:11" x14ac:dyDescent="0.3">
      <c r="A19" s="3" t="s">
        <v>139</v>
      </c>
      <c r="B19" s="2" t="s">
        <v>140</v>
      </c>
      <c r="C19" s="4">
        <v>31017</v>
      </c>
      <c r="D19" s="6" t="s">
        <v>236</v>
      </c>
      <c r="E19" s="2" t="s">
        <v>141</v>
      </c>
      <c r="F19" s="5">
        <v>539</v>
      </c>
      <c r="G19" s="2" t="s">
        <v>142</v>
      </c>
      <c r="H19" s="2" t="s">
        <v>143</v>
      </c>
      <c r="I19" s="2" t="s">
        <v>115</v>
      </c>
      <c r="J19" s="3" t="s">
        <v>116</v>
      </c>
      <c r="K19" s="6" t="s">
        <v>144</v>
      </c>
    </row>
    <row r="20" spans="1:11" x14ac:dyDescent="0.3">
      <c r="A20" s="3" t="s">
        <v>145</v>
      </c>
      <c r="B20" s="2" t="s">
        <v>146</v>
      </c>
      <c r="C20" s="4">
        <v>34722</v>
      </c>
      <c r="D20" s="6" t="s">
        <v>237</v>
      </c>
      <c r="E20" s="2" t="s">
        <v>147</v>
      </c>
      <c r="F20" s="5">
        <v>1201</v>
      </c>
      <c r="G20" s="2" t="s">
        <v>148</v>
      </c>
      <c r="H20" s="2" t="s">
        <v>149</v>
      </c>
      <c r="I20" s="2" t="s">
        <v>54</v>
      </c>
      <c r="J20" s="3" t="s">
        <v>55</v>
      </c>
      <c r="K20" s="6" t="s">
        <v>150</v>
      </c>
    </row>
    <row r="21" spans="1:11" x14ac:dyDescent="0.3">
      <c r="A21" s="3" t="s">
        <v>151</v>
      </c>
      <c r="B21" s="2" t="s">
        <v>152</v>
      </c>
      <c r="C21" s="4">
        <v>27794</v>
      </c>
      <c r="D21" s="6" t="s">
        <v>238</v>
      </c>
      <c r="E21" s="2" t="s">
        <v>153</v>
      </c>
      <c r="F21" s="5">
        <v>83</v>
      </c>
      <c r="G21" s="2" t="s">
        <v>52</v>
      </c>
      <c r="H21" s="2" t="s">
        <v>154</v>
      </c>
      <c r="I21" s="2" t="s">
        <v>46</v>
      </c>
      <c r="J21" s="3" t="s">
        <v>47</v>
      </c>
      <c r="K21" s="6" t="s">
        <v>155</v>
      </c>
    </row>
    <row r="22" spans="1:11" x14ac:dyDescent="0.3">
      <c r="A22" s="3" t="s">
        <v>156</v>
      </c>
      <c r="B22" s="2" t="s">
        <v>157</v>
      </c>
      <c r="C22" s="4">
        <v>35407</v>
      </c>
      <c r="D22" s="6" t="s">
        <v>239</v>
      </c>
      <c r="E22" s="2" t="s">
        <v>158</v>
      </c>
      <c r="F22" s="5">
        <v>492</v>
      </c>
      <c r="G22" s="2" t="s">
        <v>159</v>
      </c>
      <c r="H22" s="2" t="s">
        <v>160</v>
      </c>
      <c r="I22" s="2" t="s">
        <v>30</v>
      </c>
      <c r="J22" s="3" t="s">
        <v>31</v>
      </c>
      <c r="K22" s="6" t="s">
        <v>161</v>
      </c>
    </row>
    <row r="23" spans="1:11" x14ac:dyDescent="0.3">
      <c r="A23" s="3" t="s">
        <v>162</v>
      </c>
      <c r="B23" s="2" t="s">
        <v>163</v>
      </c>
      <c r="C23" s="4">
        <v>29384</v>
      </c>
      <c r="D23" s="6" t="s">
        <v>240</v>
      </c>
      <c r="E23" s="2" t="s">
        <v>164</v>
      </c>
      <c r="F23" s="5">
        <v>267</v>
      </c>
      <c r="G23" s="2" t="s">
        <v>165</v>
      </c>
      <c r="H23" s="2" t="s">
        <v>166</v>
      </c>
      <c r="I23" s="2" t="s">
        <v>15</v>
      </c>
      <c r="J23" s="3" t="s">
        <v>16</v>
      </c>
      <c r="K23" s="6" t="s">
        <v>167</v>
      </c>
    </row>
    <row r="24" spans="1:11" x14ac:dyDescent="0.3">
      <c r="A24" s="3" t="s">
        <v>168</v>
      </c>
      <c r="B24" s="2" t="s">
        <v>169</v>
      </c>
      <c r="C24" s="4">
        <v>32590</v>
      </c>
      <c r="D24" s="6" t="s">
        <v>241</v>
      </c>
      <c r="E24" s="2" t="s">
        <v>170</v>
      </c>
      <c r="F24" s="5">
        <v>711</v>
      </c>
      <c r="G24" s="2" t="s">
        <v>171</v>
      </c>
      <c r="H24" s="2" t="s">
        <v>172</v>
      </c>
      <c r="I24" s="2" t="s">
        <v>62</v>
      </c>
      <c r="J24" s="3" t="s">
        <v>63</v>
      </c>
      <c r="K24" s="6" t="s">
        <v>173</v>
      </c>
    </row>
    <row r="25" spans="1:11" x14ac:dyDescent="0.3">
      <c r="A25" s="3" t="s">
        <v>174</v>
      </c>
      <c r="B25" s="2" t="s">
        <v>175</v>
      </c>
      <c r="C25" s="4">
        <v>33970</v>
      </c>
      <c r="D25" s="6" t="s">
        <v>242</v>
      </c>
      <c r="E25" s="2" t="s">
        <v>176</v>
      </c>
      <c r="F25" s="5">
        <v>390</v>
      </c>
      <c r="G25" s="2" t="s">
        <v>177</v>
      </c>
      <c r="H25" s="2" t="s">
        <v>178</v>
      </c>
      <c r="I25" s="2" t="s">
        <v>69</v>
      </c>
      <c r="J25" s="3" t="s">
        <v>70</v>
      </c>
      <c r="K25" s="6" t="s">
        <v>179</v>
      </c>
    </row>
    <row r="26" spans="1:11" x14ac:dyDescent="0.3">
      <c r="A26" s="3" t="s">
        <v>180</v>
      </c>
      <c r="B26" s="2" t="s">
        <v>181</v>
      </c>
      <c r="C26" s="4">
        <v>27037</v>
      </c>
      <c r="D26" s="6" t="s">
        <v>243</v>
      </c>
      <c r="E26" s="2" t="s">
        <v>182</v>
      </c>
      <c r="F26" s="5">
        <v>156</v>
      </c>
      <c r="G26" s="2" t="s">
        <v>36</v>
      </c>
      <c r="H26" s="2" t="s">
        <v>183</v>
      </c>
      <c r="I26" s="2" t="s">
        <v>100</v>
      </c>
      <c r="J26" s="3" t="s">
        <v>101</v>
      </c>
      <c r="K26" s="6" t="s">
        <v>184</v>
      </c>
    </row>
    <row r="27" spans="1:11" x14ac:dyDescent="0.3">
      <c r="A27" s="3" t="s">
        <v>185</v>
      </c>
      <c r="B27" s="2" t="s">
        <v>186</v>
      </c>
      <c r="C27" s="4">
        <v>35051</v>
      </c>
      <c r="D27" s="6" t="s">
        <v>244</v>
      </c>
      <c r="E27" s="2" t="s">
        <v>187</v>
      </c>
      <c r="F27" s="5">
        <v>608</v>
      </c>
      <c r="G27" s="2" t="s">
        <v>52</v>
      </c>
      <c r="H27" s="2" t="s">
        <v>22</v>
      </c>
      <c r="I27" s="2" t="s">
        <v>188</v>
      </c>
      <c r="J27" s="3" t="s">
        <v>189</v>
      </c>
      <c r="K27" s="6" t="s">
        <v>190</v>
      </c>
    </row>
    <row r="28" spans="1:11" x14ac:dyDescent="0.3">
      <c r="A28" s="3" t="s">
        <v>191</v>
      </c>
      <c r="B28" s="2" t="s">
        <v>192</v>
      </c>
      <c r="C28" s="4">
        <v>30499</v>
      </c>
      <c r="D28" s="6" t="s">
        <v>245</v>
      </c>
      <c r="E28" s="2" t="s">
        <v>193</v>
      </c>
      <c r="F28" s="5">
        <v>1024</v>
      </c>
      <c r="G28" s="2" t="s">
        <v>194</v>
      </c>
      <c r="H28" s="2" t="s">
        <v>195</v>
      </c>
      <c r="I28" s="2" t="s">
        <v>196</v>
      </c>
      <c r="J28" s="3" t="s">
        <v>197</v>
      </c>
      <c r="K28" s="6" t="s">
        <v>198</v>
      </c>
    </row>
    <row r="29" spans="1:11" x14ac:dyDescent="0.3">
      <c r="A29" s="3" t="s">
        <v>199</v>
      </c>
      <c r="B29" s="2" t="s">
        <v>200</v>
      </c>
      <c r="C29" s="4">
        <v>33245</v>
      </c>
      <c r="D29" s="6" t="s">
        <v>246</v>
      </c>
      <c r="E29" s="2" t="s">
        <v>201</v>
      </c>
      <c r="F29" s="5">
        <v>231</v>
      </c>
      <c r="G29" s="2" t="s">
        <v>21</v>
      </c>
      <c r="H29" s="2" t="s">
        <v>202</v>
      </c>
      <c r="I29" s="2" t="s">
        <v>203</v>
      </c>
      <c r="J29" s="3" t="s">
        <v>204</v>
      </c>
      <c r="K29" s="6" t="s">
        <v>205</v>
      </c>
    </row>
    <row r="30" spans="1:11" x14ac:dyDescent="0.3">
      <c r="A30" s="3" t="s">
        <v>206</v>
      </c>
      <c r="B30" s="2" t="s">
        <v>207</v>
      </c>
      <c r="C30" s="4">
        <v>28890</v>
      </c>
      <c r="D30" s="6" t="s">
        <v>247</v>
      </c>
      <c r="E30" s="2" t="s">
        <v>208</v>
      </c>
      <c r="F30" s="5">
        <v>69</v>
      </c>
      <c r="G30" s="2" t="s">
        <v>28</v>
      </c>
      <c r="H30" s="2" t="s">
        <v>22</v>
      </c>
      <c r="I30" s="2" t="s">
        <v>209</v>
      </c>
      <c r="J30" s="3" t="s">
        <v>210</v>
      </c>
      <c r="K30" s="6" t="s">
        <v>211</v>
      </c>
    </row>
    <row r="31" spans="1:11" x14ac:dyDescent="0.3">
      <c r="A31" s="3" t="s">
        <v>212</v>
      </c>
      <c r="B31" s="2" t="s">
        <v>213</v>
      </c>
      <c r="C31" s="4">
        <v>35829</v>
      </c>
      <c r="D31" s="6" t="s">
        <v>248</v>
      </c>
      <c r="E31" s="2" t="s">
        <v>214</v>
      </c>
      <c r="F31" s="5">
        <v>875</v>
      </c>
      <c r="G31" s="2" t="s">
        <v>215</v>
      </c>
      <c r="H31" s="2" t="s">
        <v>216</v>
      </c>
      <c r="I31" s="2" t="s">
        <v>38</v>
      </c>
      <c r="J31" s="3" t="s">
        <v>39</v>
      </c>
      <c r="K31" s="6" t="s">
        <v>217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352A-9DE9-49C9-925F-59012EBE21FB}">
  <dimension ref="A1:E51"/>
  <sheetViews>
    <sheetView workbookViewId="0">
      <selection activeCell="E2" sqref="E2"/>
    </sheetView>
  </sheetViews>
  <sheetFormatPr defaultRowHeight="14.4" x14ac:dyDescent="0.3"/>
  <cols>
    <col min="1" max="1" width="14.44140625" customWidth="1"/>
    <col min="2" max="2" width="42.5546875" customWidth="1"/>
    <col min="3" max="3" width="17.5546875" customWidth="1"/>
    <col min="4" max="5" width="17" customWidth="1"/>
  </cols>
  <sheetData>
    <row r="1" spans="1:5" x14ac:dyDescent="0.3">
      <c r="A1" s="2" t="s">
        <v>249</v>
      </c>
      <c r="B1" s="2" t="s">
        <v>250</v>
      </c>
      <c r="C1" s="2" t="s">
        <v>251</v>
      </c>
      <c r="D1" s="2" t="s">
        <v>252</v>
      </c>
      <c r="E1" s="2" t="s">
        <v>253</v>
      </c>
    </row>
    <row r="2" spans="1:5" x14ac:dyDescent="0.3">
      <c r="A2" s="3" t="s">
        <v>254</v>
      </c>
      <c r="B2" s="2" t="s">
        <v>255</v>
      </c>
      <c r="C2" s="3" t="s">
        <v>256</v>
      </c>
      <c r="D2" s="7">
        <v>22.9</v>
      </c>
      <c r="E2" s="7">
        <v>29.9</v>
      </c>
    </row>
    <row r="3" spans="1:5" x14ac:dyDescent="0.3">
      <c r="A3" s="3" t="s">
        <v>257</v>
      </c>
      <c r="B3" s="2" t="s">
        <v>258</v>
      </c>
      <c r="C3" s="3" t="s">
        <v>256</v>
      </c>
      <c r="D3" s="7">
        <v>6.8</v>
      </c>
      <c r="E3" s="7">
        <v>9.49</v>
      </c>
    </row>
    <row r="4" spans="1:5" x14ac:dyDescent="0.3">
      <c r="A4" s="3" t="s">
        <v>259</v>
      </c>
      <c r="B4" s="2" t="s">
        <v>260</v>
      </c>
      <c r="C4" s="3" t="s">
        <v>256</v>
      </c>
      <c r="D4" s="7">
        <v>3.4</v>
      </c>
      <c r="E4" s="7">
        <v>4.79</v>
      </c>
    </row>
    <row r="5" spans="1:5" x14ac:dyDescent="0.3">
      <c r="A5" s="3" t="s">
        <v>261</v>
      </c>
      <c r="B5" s="2" t="s">
        <v>262</v>
      </c>
      <c r="C5" s="3" t="s">
        <v>256</v>
      </c>
      <c r="D5" s="7">
        <v>1.75</v>
      </c>
      <c r="E5" s="7">
        <v>2.69</v>
      </c>
    </row>
    <row r="6" spans="1:5" x14ac:dyDescent="0.3">
      <c r="A6" s="3" t="s">
        <v>263</v>
      </c>
      <c r="B6" s="2" t="s">
        <v>264</v>
      </c>
      <c r="C6" s="3" t="s">
        <v>256</v>
      </c>
      <c r="D6" s="7">
        <v>4.0999999999999996</v>
      </c>
      <c r="E6" s="7">
        <v>5.99</v>
      </c>
    </row>
    <row r="7" spans="1:5" x14ac:dyDescent="0.3">
      <c r="A7" s="3" t="s">
        <v>265</v>
      </c>
      <c r="B7" s="2" t="s">
        <v>266</v>
      </c>
      <c r="C7" s="3" t="s">
        <v>267</v>
      </c>
      <c r="D7" s="7">
        <v>2.85</v>
      </c>
      <c r="E7" s="7">
        <v>4.29</v>
      </c>
    </row>
    <row r="8" spans="1:5" x14ac:dyDescent="0.3">
      <c r="A8" s="3" t="s">
        <v>268</v>
      </c>
      <c r="B8" s="2" t="s">
        <v>269</v>
      </c>
      <c r="C8" s="3" t="s">
        <v>270</v>
      </c>
      <c r="D8" s="7">
        <v>1.65</v>
      </c>
      <c r="E8" s="7">
        <v>2.79</v>
      </c>
    </row>
    <row r="9" spans="1:5" x14ac:dyDescent="0.3">
      <c r="A9" s="3" t="s">
        <v>271</v>
      </c>
      <c r="B9" s="2" t="s">
        <v>272</v>
      </c>
      <c r="C9" s="3" t="s">
        <v>256</v>
      </c>
      <c r="D9" s="7">
        <v>5.95</v>
      </c>
      <c r="E9" s="7">
        <v>7.99</v>
      </c>
    </row>
    <row r="10" spans="1:5" x14ac:dyDescent="0.3">
      <c r="A10" s="3" t="s">
        <v>273</v>
      </c>
      <c r="B10" s="2" t="s">
        <v>274</v>
      </c>
      <c r="C10" s="3" t="s">
        <v>256</v>
      </c>
      <c r="D10" s="7">
        <v>25.8</v>
      </c>
      <c r="E10" s="7">
        <v>34.9</v>
      </c>
    </row>
    <row r="11" spans="1:5" x14ac:dyDescent="0.3">
      <c r="A11" s="3" t="s">
        <v>275</v>
      </c>
      <c r="B11" s="2" t="s">
        <v>276</v>
      </c>
      <c r="C11" s="3" t="s">
        <v>277</v>
      </c>
      <c r="D11" s="7">
        <v>15.9</v>
      </c>
      <c r="E11" s="7">
        <v>21.9</v>
      </c>
    </row>
    <row r="12" spans="1:5" x14ac:dyDescent="0.3">
      <c r="A12" s="3" t="s">
        <v>278</v>
      </c>
      <c r="B12" s="2" t="s">
        <v>279</v>
      </c>
      <c r="C12" s="3" t="s">
        <v>280</v>
      </c>
      <c r="D12" s="7">
        <v>3.65</v>
      </c>
      <c r="E12" s="7">
        <v>4.8899999999999997</v>
      </c>
    </row>
    <row r="13" spans="1:5" x14ac:dyDescent="0.3">
      <c r="A13" s="3" t="s">
        <v>281</v>
      </c>
      <c r="B13" s="2" t="s">
        <v>282</v>
      </c>
      <c r="C13" s="3" t="s">
        <v>280</v>
      </c>
      <c r="D13" s="7">
        <v>3.75</v>
      </c>
      <c r="E13" s="7">
        <v>4.99</v>
      </c>
    </row>
    <row r="14" spans="1:5" x14ac:dyDescent="0.3">
      <c r="A14" s="3" t="s">
        <v>283</v>
      </c>
      <c r="B14" s="2" t="s">
        <v>284</v>
      </c>
      <c r="C14" s="3" t="s">
        <v>280</v>
      </c>
      <c r="D14" s="7">
        <v>8.9</v>
      </c>
      <c r="E14" s="7">
        <v>11.99</v>
      </c>
    </row>
    <row r="15" spans="1:5" x14ac:dyDescent="0.3">
      <c r="A15" s="3" t="s">
        <v>285</v>
      </c>
      <c r="B15" s="2" t="s">
        <v>286</v>
      </c>
      <c r="C15" s="3" t="s">
        <v>280</v>
      </c>
      <c r="D15" s="7">
        <v>5.4</v>
      </c>
      <c r="E15" s="7">
        <v>7.49</v>
      </c>
    </row>
    <row r="16" spans="1:5" x14ac:dyDescent="0.3">
      <c r="A16" s="3" t="s">
        <v>287</v>
      </c>
      <c r="B16" s="2" t="s">
        <v>288</v>
      </c>
      <c r="C16" s="3" t="s">
        <v>289</v>
      </c>
      <c r="D16" s="7">
        <v>9.8000000000000007</v>
      </c>
      <c r="E16" s="7">
        <v>13.49</v>
      </c>
    </row>
    <row r="17" spans="1:5" x14ac:dyDescent="0.3">
      <c r="A17" s="3" t="s">
        <v>290</v>
      </c>
      <c r="B17" s="2" t="s">
        <v>291</v>
      </c>
      <c r="C17" s="3" t="s">
        <v>289</v>
      </c>
      <c r="D17" s="7">
        <v>7.6</v>
      </c>
      <c r="E17" s="7">
        <v>10.49</v>
      </c>
    </row>
    <row r="18" spans="1:5" x14ac:dyDescent="0.3">
      <c r="A18" s="3" t="s">
        <v>292</v>
      </c>
      <c r="B18" s="2" t="s">
        <v>293</v>
      </c>
      <c r="C18" s="3" t="s">
        <v>280</v>
      </c>
      <c r="D18" s="7">
        <v>2.15</v>
      </c>
      <c r="E18" s="7">
        <v>3.29</v>
      </c>
    </row>
    <row r="19" spans="1:5" x14ac:dyDescent="0.3">
      <c r="A19" s="3" t="s">
        <v>294</v>
      </c>
      <c r="B19" s="2" t="s">
        <v>295</v>
      </c>
      <c r="C19" s="3" t="s">
        <v>280</v>
      </c>
      <c r="D19" s="7">
        <v>6.75</v>
      </c>
      <c r="E19" s="7">
        <v>9.2899999999999991</v>
      </c>
    </row>
    <row r="20" spans="1:5" x14ac:dyDescent="0.3">
      <c r="A20" s="3" t="s">
        <v>296</v>
      </c>
      <c r="B20" s="2" t="s">
        <v>297</v>
      </c>
      <c r="C20" s="3" t="s">
        <v>298</v>
      </c>
      <c r="D20" s="7">
        <v>7.9</v>
      </c>
      <c r="E20" s="7">
        <v>10.9</v>
      </c>
    </row>
    <row r="21" spans="1:5" x14ac:dyDescent="0.3">
      <c r="A21" s="3" t="s">
        <v>299</v>
      </c>
      <c r="B21" s="2" t="s">
        <v>300</v>
      </c>
      <c r="C21" s="3" t="s">
        <v>301</v>
      </c>
      <c r="D21" s="7">
        <v>6.2</v>
      </c>
      <c r="E21" s="7">
        <v>8.49</v>
      </c>
    </row>
    <row r="22" spans="1:5" x14ac:dyDescent="0.3">
      <c r="A22" s="3" t="s">
        <v>302</v>
      </c>
      <c r="B22" s="2" t="s">
        <v>303</v>
      </c>
      <c r="C22" s="3" t="s">
        <v>304</v>
      </c>
      <c r="D22" s="7">
        <v>3.25</v>
      </c>
      <c r="E22" s="7">
        <v>4.79</v>
      </c>
    </row>
    <row r="23" spans="1:5" x14ac:dyDescent="0.3">
      <c r="A23" s="3" t="s">
        <v>305</v>
      </c>
      <c r="B23" s="2" t="s">
        <v>306</v>
      </c>
      <c r="C23" s="3" t="s">
        <v>304</v>
      </c>
      <c r="D23" s="7">
        <v>2.1</v>
      </c>
      <c r="E23" s="7">
        <v>3.29</v>
      </c>
    </row>
    <row r="24" spans="1:5" x14ac:dyDescent="0.3">
      <c r="A24" s="3" t="s">
        <v>307</v>
      </c>
      <c r="B24" s="2" t="s">
        <v>308</v>
      </c>
      <c r="C24" s="3" t="s">
        <v>309</v>
      </c>
      <c r="D24" s="7">
        <v>8.4</v>
      </c>
      <c r="E24" s="7">
        <v>11.9</v>
      </c>
    </row>
    <row r="25" spans="1:5" x14ac:dyDescent="0.3">
      <c r="A25" s="3" t="s">
        <v>310</v>
      </c>
      <c r="B25" s="2" t="s">
        <v>311</v>
      </c>
      <c r="C25" s="3" t="s">
        <v>277</v>
      </c>
      <c r="D25" s="7">
        <v>6.9</v>
      </c>
      <c r="E25" s="7">
        <v>9.49</v>
      </c>
    </row>
    <row r="26" spans="1:5" x14ac:dyDescent="0.3">
      <c r="A26" s="3" t="s">
        <v>312</v>
      </c>
      <c r="B26" s="2" t="s">
        <v>313</v>
      </c>
      <c r="C26" s="3" t="s">
        <v>277</v>
      </c>
      <c r="D26" s="7">
        <v>8.5</v>
      </c>
      <c r="E26" s="7">
        <v>11.49</v>
      </c>
    </row>
    <row r="27" spans="1:5" x14ac:dyDescent="0.3">
      <c r="A27" s="3" t="s">
        <v>314</v>
      </c>
      <c r="B27" s="2" t="s">
        <v>315</v>
      </c>
      <c r="C27" s="3" t="s">
        <v>277</v>
      </c>
      <c r="D27" s="7">
        <v>6.75</v>
      </c>
      <c r="E27" s="7">
        <v>9.49</v>
      </c>
    </row>
    <row r="28" spans="1:5" x14ac:dyDescent="0.3">
      <c r="A28" s="3" t="s">
        <v>316</v>
      </c>
      <c r="B28" s="2" t="s">
        <v>317</v>
      </c>
      <c r="C28" s="3" t="s">
        <v>277</v>
      </c>
      <c r="D28" s="7">
        <v>1.8</v>
      </c>
      <c r="E28" s="7">
        <v>2.79</v>
      </c>
    </row>
    <row r="29" spans="1:5" x14ac:dyDescent="0.3">
      <c r="A29" s="3" t="s">
        <v>318</v>
      </c>
      <c r="B29" s="2" t="s">
        <v>319</v>
      </c>
      <c r="C29" s="3" t="s">
        <v>277</v>
      </c>
      <c r="D29" s="7">
        <v>2.85</v>
      </c>
      <c r="E29" s="7">
        <v>4.29</v>
      </c>
    </row>
    <row r="30" spans="1:5" x14ac:dyDescent="0.3">
      <c r="A30" s="3" t="s">
        <v>320</v>
      </c>
      <c r="B30" s="2" t="s">
        <v>321</v>
      </c>
      <c r="C30" s="3" t="s">
        <v>322</v>
      </c>
      <c r="D30" s="7">
        <v>1.75</v>
      </c>
      <c r="E30" s="7">
        <v>2.69</v>
      </c>
    </row>
    <row r="31" spans="1:5" x14ac:dyDescent="0.3">
      <c r="A31" s="3" t="s">
        <v>323</v>
      </c>
      <c r="B31" s="2" t="s">
        <v>324</v>
      </c>
      <c r="C31" s="3" t="s">
        <v>322</v>
      </c>
      <c r="D31" s="7">
        <v>13.9</v>
      </c>
      <c r="E31" s="7">
        <v>18.899999999999999</v>
      </c>
    </row>
    <row r="32" spans="1:5" x14ac:dyDescent="0.3">
      <c r="A32" s="3" t="s">
        <v>325</v>
      </c>
      <c r="B32" s="2" t="s">
        <v>326</v>
      </c>
      <c r="C32" s="3" t="s">
        <v>322</v>
      </c>
      <c r="D32" s="7">
        <v>7.8</v>
      </c>
      <c r="E32" s="7">
        <v>10.49</v>
      </c>
    </row>
    <row r="33" spans="1:5" x14ac:dyDescent="0.3">
      <c r="A33" s="3" t="s">
        <v>327</v>
      </c>
      <c r="B33" s="2" t="s">
        <v>328</v>
      </c>
      <c r="C33" s="3" t="s">
        <v>322</v>
      </c>
      <c r="D33" s="7">
        <v>4.25</v>
      </c>
      <c r="E33" s="7">
        <v>5.99</v>
      </c>
    </row>
    <row r="34" spans="1:5" x14ac:dyDescent="0.3">
      <c r="A34" s="3" t="s">
        <v>329</v>
      </c>
      <c r="B34" s="2" t="s">
        <v>330</v>
      </c>
      <c r="C34" s="3" t="s">
        <v>322</v>
      </c>
      <c r="D34" s="7">
        <v>5.6</v>
      </c>
      <c r="E34" s="7">
        <v>7.49</v>
      </c>
    </row>
    <row r="35" spans="1:5" x14ac:dyDescent="0.3">
      <c r="A35" s="3" t="s">
        <v>331</v>
      </c>
      <c r="B35" s="2" t="s">
        <v>332</v>
      </c>
      <c r="C35" s="3" t="s">
        <v>322</v>
      </c>
      <c r="D35" s="7">
        <v>2.15</v>
      </c>
      <c r="E35" s="7">
        <v>3.49</v>
      </c>
    </row>
    <row r="36" spans="1:5" x14ac:dyDescent="0.3">
      <c r="A36" s="3" t="s">
        <v>333</v>
      </c>
      <c r="B36" s="2" t="s">
        <v>334</v>
      </c>
      <c r="C36" s="3" t="s">
        <v>335</v>
      </c>
      <c r="D36" s="7">
        <v>15.5</v>
      </c>
      <c r="E36" s="7">
        <v>20.9</v>
      </c>
    </row>
    <row r="37" spans="1:5" x14ac:dyDescent="0.3">
      <c r="A37" s="3" t="s">
        <v>336</v>
      </c>
      <c r="B37" s="2" t="s">
        <v>337</v>
      </c>
      <c r="C37" s="3" t="s">
        <v>335</v>
      </c>
      <c r="D37" s="7">
        <v>1.85</v>
      </c>
      <c r="E37" s="7">
        <v>2.99</v>
      </c>
    </row>
    <row r="38" spans="1:5" x14ac:dyDescent="0.3">
      <c r="A38" s="3" t="s">
        <v>338</v>
      </c>
      <c r="B38" s="2" t="s">
        <v>339</v>
      </c>
      <c r="C38" s="3" t="s">
        <v>335</v>
      </c>
      <c r="D38" s="7">
        <v>8.9</v>
      </c>
      <c r="E38" s="7">
        <v>12.49</v>
      </c>
    </row>
    <row r="39" spans="1:5" x14ac:dyDescent="0.3">
      <c r="A39" s="3" t="s">
        <v>340</v>
      </c>
      <c r="B39" s="2" t="s">
        <v>341</v>
      </c>
      <c r="C39" s="3" t="s">
        <v>335</v>
      </c>
      <c r="D39" s="7">
        <v>9.1999999999999993</v>
      </c>
      <c r="E39" s="7">
        <v>12.9</v>
      </c>
    </row>
    <row r="40" spans="1:5" x14ac:dyDescent="0.3">
      <c r="A40" s="3" t="s">
        <v>342</v>
      </c>
      <c r="B40" s="2" t="s">
        <v>343</v>
      </c>
      <c r="C40" s="3" t="s">
        <v>335</v>
      </c>
      <c r="D40" s="7">
        <v>3.65</v>
      </c>
      <c r="E40" s="7">
        <v>5.29</v>
      </c>
    </row>
    <row r="41" spans="1:5" x14ac:dyDescent="0.3">
      <c r="A41" s="3" t="s">
        <v>344</v>
      </c>
      <c r="B41" s="2" t="s">
        <v>345</v>
      </c>
      <c r="C41" s="3" t="s">
        <v>335</v>
      </c>
      <c r="D41" s="7">
        <v>8.4</v>
      </c>
      <c r="E41" s="7">
        <v>11.9</v>
      </c>
    </row>
    <row r="42" spans="1:5" x14ac:dyDescent="0.3">
      <c r="A42" s="3" t="s">
        <v>346</v>
      </c>
      <c r="B42" s="2" t="s">
        <v>347</v>
      </c>
      <c r="C42" s="3" t="s">
        <v>348</v>
      </c>
      <c r="D42" s="7">
        <v>22.5</v>
      </c>
      <c r="E42" s="7">
        <v>29.9</v>
      </c>
    </row>
    <row r="43" spans="1:5" x14ac:dyDescent="0.3">
      <c r="A43" s="3" t="s">
        <v>349</v>
      </c>
      <c r="B43" s="2" t="s">
        <v>350</v>
      </c>
      <c r="C43" s="3" t="s">
        <v>335</v>
      </c>
      <c r="D43" s="7">
        <v>3.8</v>
      </c>
      <c r="E43" s="7">
        <v>5.49</v>
      </c>
    </row>
    <row r="44" spans="1:5" x14ac:dyDescent="0.3">
      <c r="A44" s="3" t="s">
        <v>351</v>
      </c>
      <c r="B44" s="2" t="s">
        <v>352</v>
      </c>
      <c r="C44" s="3" t="s">
        <v>298</v>
      </c>
      <c r="D44" s="7">
        <v>4.2</v>
      </c>
      <c r="E44" s="7">
        <v>6.49</v>
      </c>
    </row>
    <row r="45" spans="1:5" x14ac:dyDescent="0.3">
      <c r="A45" s="3" t="s">
        <v>353</v>
      </c>
      <c r="B45" s="2" t="s">
        <v>354</v>
      </c>
      <c r="C45" s="3" t="s">
        <v>298</v>
      </c>
      <c r="D45" s="7">
        <v>7.9</v>
      </c>
      <c r="E45" s="7">
        <v>10.9</v>
      </c>
    </row>
    <row r="46" spans="1:5" x14ac:dyDescent="0.3">
      <c r="A46" s="3" t="s">
        <v>355</v>
      </c>
      <c r="B46" s="2" t="s">
        <v>356</v>
      </c>
      <c r="C46" s="3" t="s">
        <v>298</v>
      </c>
      <c r="D46" s="7">
        <v>5.25</v>
      </c>
      <c r="E46" s="7">
        <v>7.99</v>
      </c>
    </row>
    <row r="47" spans="1:5" x14ac:dyDescent="0.3">
      <c r="A47" s="3" t="s">
        <v>357</v>
      </c>
      <c r="B47" s="2" t="s">
        <v>358</v>
      </c>
      <c r="C47" s="3" t="s">
        <v>298</v>
      </c>
      <c r="D47" s="7">
        <v>4.0999999999999996</v>
      </c>
      <c r="E47" s="7">
        <v>6.29</v>
      </c>
    </row>
    <row r="48" spans="1:5" x14ac:dyDescent="0.3">
      <c r="A48" s="3" t="s">
        <v>359</v>
      </c>
      <c r="B48" s="2" t="s">
        <v>360</v>
      </c>
      <c r="C48" s="3" t="s">
        <v>298</v>
      </c>
      <c r="D48" s="7">
        <v>3.85</v>
      </c>
      <c r="E48" s="7">
        <v>5.99</v>
      </c>
    </row>
    <row r="49" spans="1:5" x14ac:dyDescent="0.3">
      <c r="A49" s="3" t="s">
        <v>361</v>
      </c>
      <c r="B49" s="2" t="s">
        <v>362</v>
      </c>
      <c r="C49" s="3" t="s">
        <v>363</v>
      </c>
      <c r="D49" s="7">
        <v>12.9</v>
      </c>
      <c r="E49" s="7">
        <v>17.899999999999999</v>
      </c>
    </row>
    <row r="50" spans="1:5" x14ac:dyDescent="0.3">
      <c r="A50" s="3" t="s">
        <v>364</v>
      </c>
      <c r="B50" s="2" t="s">
        <v>365</v>
      </c>
      <c r="C50" s="3" t="s">
        <v>363</v>
      </c>
      <c r="D50" s="7">
        <v>24.5</v>
      </c>
      <c r="E50" s="7">
        <v>32.9</v>
      </c>
    </row>
    <row r="51" spans="1:5" x14ac:dyDescent="0.3">
      <c r="A51" s="3" t="s">
        <v>366</v>
      </c>
      <c r="B51" s="2" t="s">
        <v>367</v>
      </c>
      <c r="C51" s="3" t="s">
        <v>368</v>
      </c>
      <c r="D51" s="7">
        <v>11.8</v>
      </c>
      <c r="E51" s="7">
        <v>16.489999999999998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FB8F-1C74-4427-9EA7-70AC09C8AA50}">
  <dimension ref="A1:G101"/>
  <sheetViews>
    <sheetView tabSelected="1" workbookViewId="0">
      <selection activeCell="H2" sqref="H2"/>
    </sheetView>
  </sheetViews>
  <sheetFormatPr defaultRowHeight="14.4" x14ac:dyDescent="0.3"/>
  <cols>
    <col min="1" max="3" width="17" customWidth="1"/>
    <col min="4" max="4" width="26.88671875" customWidth="1"/>
    <col min="5" max="5" width="15.77734375" customWidth="1"/>
    <col min="6" max="6" width="23.109375" customWidth="1"/>
    <col min="7" max="7" width="19.44140625" customWidth="1"/>
  </cols>
  <sheetData>
    <row r="1" spans="1:7" x14ac:dyDescent="0.3">
      <c r="A1" s="3" t="s">
        <v>389</v>
      </c>
      <c r="B1" s="2" t="s">
        <v>369</v>
      </c>
      <c r="C1" s="2" t="s">
        <v>370</v>
      </c>
      <c r="D1" s="2" t="s">
        <v>371</v>
      </c>
      <c r="E1" s="2" t="s">
        <v>372</v>
      </c>
      <c r="F1" s="2" t="s">
        <v>373</v>
      </c>
      <c r="G1" s="2" t="s">
        <v>490</v>
      </c>
    </row>
    <row r="2" spans="1:7" x14ac:dyDescent="0.3">
      <c r="A2" s="3" t="s">
        <v>390</v>
      </c>
      <c r="B2" s="3" t="s">
        <v>10</v>
      </c>
      <c r="C2" s="3" t="s">
        <v>254</v>
      </c>
      <c r="D2" s="5">
        <v>3</v>
      </c>
      <c r="E2" s="4">
        <v>45891</v>
      </c>
      <c r="F2" s="2" t="s">
        <v>374</v>
      </c>
      <c r="G2" s="7">
        <f>_xlfn.XLOOKUP(HistoricoCompras[[#This Row],[ID do Produto]],ProdutosCadastro[ID Produto],ProdutosCadastro[Preço de Venda])*HistoricoCompras[[#This Row],[Qtde de Produtos Comprados]]</f>
        <v>89.699999999999989</v>
      </c>
    </row>
    <row r="3" spans="1:7" x14ac:dyDescent="0.3">
      <c r="A3" s="3" t="s">
        <v>391</v>
      </c>
      <c r="B3" s="3" t="s">
        <v>133</v>
      </c>
      <c r="C3" s="3" t="s">
        <v>361</v>
      </c>
      <c r="D3" s="5">
        <v>4</v>
      </c>
      <c r="E3" s="4">
        <v>45891</v>
      </c>
      <c r="F3" s="2" t="s">
        <v>375</v>
      </c>
      <c r="G3" s="7">
        <f>_xlfn.XLOOKUP(HistoricoCompras[[#This Row],[ID do Produto]],ProdutosCadastro[ID Produto],ProdutosCadastro[Preço de Venda])*HistoricoCompras[[#This Row],[Qtde de Produtos Comprados]]</f>
        <v>71.599999999999994</v>
      </c>
    </row>
    <row r="4" spans="1:7" x14ac:dyDescent="0.3">
      <c r="A4" s="3" t="s">
        <v>392</v>
      </c>
      <c r="B4" s="3" t="s">
        <v>206</v>
      </c>
      <c r="C4" s="3" t="s">
        <v>366</v>
      </c>
      <c r="D4" s="5">
        <v>4</v>
      </c>
      <c r="E4" s="4">
        <v>45892</v>
      </c>
      <c r="F4" s="2" t="s">
        <v>376</v>
      </c>
      <c r="G4" s="7">
        <f>_xlfn.XLOOKUP(HistoricoCompras[[#This Row],[ID do Produto]],ProdutosCadastro[ID Produto],ProdutosCadastro[Preço de Venda])*HistoricoCompras[[#This Row],[Qtde de Produtos Comprados]]</f>
        <v>65.959999999999994</v>
      </c>
    </row>
    <row r="5" spans="1:7" x14ac:dyDescent="0.3">
      <c r="A5" s="3" t="s">
        <v>393</v>
      </c>
      <c r="B5" s="3" t="s">
        <v>57</v>
      </c>
      <c r="C5" s="3" t="s">
        <v>366</v>
      </c>
      <c r="D5" s="5">
        <v>6</v>
      </c>
      <c r="E5" s="4">
        <v>45894</v>
      </c>
      <c r="F5" s="2" t="s">
        <v>377</v>
      </c>
      <c r="G5" s="7">
        <f>_xlfn.XLOOKUP(HistoricoCompras[[#This Row],[ID do Produto]],ProdutosCadastro[ID Produto],ProdutosCadastro[Preço de Venda])*HistoricoCompras[[#This Row],[Qtde de Produtos Comprados]]</f>
        <v>98.94</v>
      </c>
    </row>
    <row r="6" spans="1:7" x14ac:dyDescent="0.3">
      <c r="A6" s="3" t="s">
        <v>394</v>
      </c>
      <c r="B6" s="3" t="s">
        <v>96</v>
      </c>
      <c r="C6" s="3" t="s">
        <v>342</v>
      </c>
      <c r="D6" s="5">
        <v>1</v>
      </c>
      <c r="E6" s="4">
        <v>45902</v>
      </c>
      <c r="F6" s="2" t="s">
        <v>378</v>
      </c>
      <c r="G6" s="7">
        <f>_xlfn.XLOOKUP(HistoricoCompras[[#This Row],[ID do Produto]],ProdutosCadastro[ID Produto],ProdutosCadastro[Preço de Venda])*HistoricoCompras[[#This Row],[Qtde de Produtos Comprados]]</f>
        <v>5.29</v>
      </c>
    </row>
    <row r="7" spans="1:7" x14ac:dyDescent="0.3">
      <c r="A7" s="3" t="s">
        <v>395</v>
      </c>
      <c r="B7" s="3" t="s">
        <v>10</v>
      </c>
      <c r="C7" s="3" t="s">
        <v>310</v>
      </c>
      <c r="D7" s="5">
        <v>6</v>
      </c>
      <c r="E7" s="4">
        <v>45902</v>
      </c>
      <c r="F7" s="2" t="s">
        <v>377</v>
      </c>
      <c r="G7" s="7">
        <f>_xlfn.XLOOKUP(HistoricoCompras[[#This Row],[ID do Produto]],ProdutosCadastro[ID Produto],ProdutosCadastro[Preço de Venda])*HistoricoCompras[[#This Row],[Qtde de Produtos Comprados]]</f>
        <v>56.94</v>
      </c>
    </row>
    <row r="8" spans="1:7" x14ac:dyDescent="0.3">
      <c r="A8" s="3" t="s">
        <v>396</v>
      </c>
      <c r="B8" s="3" t="s">
        <v>18</v>
      </c>
      <c r="C8" s="3" t="s">
        <v>296</v>
      </c>
      <c r="D8" s="5">
        <v>2</v>
      </c>
      <c r="E8" s="4">
        <v>45904</v>
      </c>
      <c r="F8" s="2" t="s">
        <v>374</v>
      </c>
      <c r="G8" s="7">
        <f>_xlfn.XLOOKUP(HistoricoCompras[[#This Row],[ID do Produto]],ProdutosCadastro[ID Produto],ProdutosCadastro[Preço de Venda])*HistoricoCompras[[#This Row],[Qtde de Produtos Comprados]]</f>
        <v>21.8</v>
      </c>
    </row>
    <row r="9" spans="1:7" x14ac:dyDescent="0.3">
      <c r="A9" s="3" t="s">
        <v>397</v>
      </c>
      <c r="B9" s="3" t="s">
        <v>118</v>
      </c>
      <c r="C9" s="3" t="s">
        <v>296</v>
      </c>
      <c r="D9" s="5">
        <v>6</v>
      </c>
      <c r="E9" s="4">
        <v>45906</v>
      </c>
      <c r="F9" s="2" t="s">
        <v>375</v>
      </c>
      <c r="G9" s="7">
        <f>_xlfn.XLOOKUP(HistoricoCompras[[#This Row],[ID do Produto]],ProdutosCadastro[ID Produto],ProdutosCadastro[Preço de Venda])*HistoricoCompras[[#This Row],[Qtde de Produtos Comprados]]</f>
        <v>65.400000000000006</v>
      </c>
    </row>
    <row r="10" spans="1:7" x14ac:dyDescent="0.3">
      <c r="A10" s="3" t="s">
        <v>398</v>
      </c>
      <c r="B10" s="3" t="s">
        <v>33</v>
      </c>
      <c r="C10" s="3" t="s">
        <v>299</v>
      </c>
      <c r="D10" s="5">
        <v>1</v>
      </c>
      <c r="E10" s="4">
        <v>45911</v>
      </c>
      <c r="F10" s="2" t="s">
        <v>378</v>
      </c>
      <c r="G10" s="7">
        <f>_xlfn.XLOOKUP(HistoricoCompras[[#This Row],[ID do Produto]],ProdutosCadastro[ID Produto],ProdutosCadastro[Preço de Venda])*HistoricoCompras[[#This Row],[Qtde de Produtos Comprados]]</f>
        <v>8.49</v>
      </c>
    </row>
    <row r="11" spans="1:7" x14ac:dyDescent="0.3">
      <c r="A11" s="3" t="s">
        <v>399</v>
      </c>
      <c r="B11" s="3" t="s">
        <v>33</v>
      </c>
      <c r="C11" s="3" t="s">
        <v>318</v>
      </c>
      <c r="D11" s="5">
        <v>8</v>
      </c>
      <c r="E11" s="4">
        <v>45927</v>
      </c>
      <c r="F11" s="2" t="s">
        <v>377</v>
      </c>
      <c r="G11" s="7">
        <f>_xlfn.XLOOKUP(HistoricoCompras[[#This Row],[ID do Produto]],ProdutosCadastro[ID Produto],ProdutosCadastro[Preço de Venda])*HistoricoCompras[[#This Row],[Qtde de Produtos Comprados]]</f>
        <v>34.32</v>
      </c>
    </row>
    <row r="12" spans="1:7" x14ac:dyDescent="0.3">
      <c r="A12" s="3" t="s">
        <v>400</v>
      </c>
      <c r="B12" s="3" t="s">
        <v>65</v>
      </c>
      <c r="C12" s="3" t="s">
        <v>285</v>
      </c>
      <c r="D12" s="5">
        <v>8</v>
      </c>
      <c r="E12" s="4">
        <v>45931</v>
      </c>
      <c r="F12" s="2" t="s">
        <v>377</v>
      </c>
      <c r="G12" s="7">
        <f>_xlfn.XLOOKUP(HistoricoCompras[[#This Row],[ID do Produto]],ProdutosCadastro[ID Produto],ProdutosCadastro[Preço de Venda])*HistoricoCompras[[#This Row],[Qtde de Produtos Comprados]]</f>
        <v>59.92</v>
      </c>
    </row>
    <row r="13" spans="1:7" x14ac:dyDescent="0.3">
      <c r="A13" s="3" t="s">
        <v>401</v>
      </c>
      <c r="B13" s="3" t="s">
        <v>151</v>
      </c>
      <c r="C13" s="3" t="s">
        <v>359</v>
      </c>
      <c r="D13" s="5">
        <v>2</v>
      </c>
      <c r="E13" s="4">
        <v>45931</v>
      </c>
      <c r="F13" s="2" t="s">
        <v>378</v>
      </c>
      <c r="G13" s="7">
        <f>_xlfn.XLOOKUP(HistoricoCompras[[#This Row],[ID do Produto]],ProdutosCadastro[ID Produto],ProdutosCadastro[Preço de Venda])*HistoricoCompras[[#This Row],[Qtde de Produtos Comprados]]</f>
        <v>11.98</v>
      </c>
    </row>
    <row r="14" spans="1:7" x14ac:dyDescent="0.3">
      <c r="A14" s="3" t="s">
        <v>402</v>
      </c>
      <c r="B14" s="3" t="s">
        <v>156</v>
      </c>
      <c r="C14" s="3" t="s">
        <v>355</v>
      </c>
      <c r="D14" s="5">
        <v>6</v>
      </c>
      <c r="E14" s="4">
        <v>45932</v>
      </c>
      <c r="F14" s="2" t="s">
        <v>375</v>
      </c>
      <c r="G14" s="7">
        <f>_xlfn.XLOOKUP(HistoricoCompras[[#This Row],[ID do Produto]],ProdutosCadastro[ID Produto],ProdutosCadastro[Preço de Venda])*HistoricoCompras[[#This Row],[Qtde de Produtos Comprados]]</f>
        <v>47.94</v>
      </c>
    </row>
    <row r="15" spans="1:7" x14ac:dyDescent="0.3">
      <c r="A15" s="3" t="s">
        <v>403</v>
      </c>
      <c r="B15" s="3" t="s">
        <v>156</v>
      </c>
      <c r="C15" s="3" t="s">
        <v>325</v>
      </c>
      <c r="D15" s="5">
        <v>4</v>
      </c>
      <c r="E15" s="4">
        <v>45937</v>
      </c>
      <c r="F15" s="2" t="s">
        <v>376</v>
      </c>
      <c r="G15" s="7">
        <f>_xlfn.XLOOKUP(HistoricoCompras[[#This Row],[ID do Produto]],ProdutosCadastro[ID Produto],ProdutosCadastro[Preço de Venda])*HistoricoCompras[[#This Row],[Qtde de Produtos Comprados]]</f>
        <v>41.96</v>
      </c>
    </row>
    <row r="16" spans="1:7" x14ac:dyDescent="0.3">
      <c r="A16" s="3" t="s">
        <v>404</v>
      </c>
      <c r="B16" s="3" t="s">
        <v>126</v>
      </c>
      <c r="C16" s="3" t="s">
        <v>366</v>
      </c>
      <c r="D16" s="5">
        <v>8</v>
      </c>
      <c r="E16" s="4">
        <v>45937</v>
      </c>
      <c r="F16" s="2" t="s">
        <v>378</v>
      </c>
      <c r="G16" s="7">
        <f>_xlfn.XLOOKUP(HistoricoCompras[[#This Row],[ID do Produto]],ProdutosCadastro[ID Produto],ProdutosCadastro[Preço de Venda])*HistoricoCompras[[#This Row],[Qtde de Produtos Comprados]]</f>
        <v>131.91999999999999</v>
      </c>
    </row>
    <row r="17" spans="1:7" x14ac:dyDescent="0.3">
      <c r="A17" s="3" t="s">
        <v>405</v>
      </c>
      <c r="B17" s="3" t="s">
        <v>139</v>
      </c>
      <c r="C17" s="3" t="s">
        <v>351</v>
      </c>
      <c r="D17" s="5">
        <v>8</v>
      </c>
      <c r="E17" s="4">
        <v>45941</v>
      </c>
      <c r="F17" s="2" t="s">
        <v>378</v>
      </c>
      <c r="G17" s="7">
        <f>_xlfn.XLOOKUP(HistoricoCompras[[#This Row],[ID do Produto]],ProdutosCadastro[ID Produto],ProdutosCadastro[Preço de Venda])*HistoricoCompras[[#This Row],[Qtde de Produtos Comprados]]</f>
        <v>51.92</v>
      </c>
    </row>
    <row r="18" spans="1:7" x14ac:dyDescent="0.3">
      <c r="A18" s="3" t="s">
        <v>406</v>
      </c>
      <c r="B18" s="3" t="s">
        <v>118</v>
      </c>
      <c r="C18" s="3" t="s">
        <v>283</v>
      </c>
      <c r="D18" s="5">
        <v>3</v>
      </c>
      <c r="E18" s="4">
        <v>45947</v>
      </c>
      <c r="F18" s="2" t="s">
        <v>376</v>
      </c>
      <c r="G18" s="7">
        <f>_xlfn.XLOOKUP(HistoricoCompras[[#This Row],[ID do Produto]],ProdutosCadastro[ID Produto],ProdutosCadastro[Preço de Venda])*HistoricoCompras[[#This Row],[Qtde de Produtos Comprados]]</f>
        <v>35.97</v>
      </c>
    </row>
    <row r="19" spans="1:7" x14ac:dyDescent="0.3">
      <c r="A19" s="3" t="s">
        <v>407</v>
      </c>
      <c r="B19" s="3" t="s">
        <v>162</v>
      </c>
      <c r="C19" s="3" t="s">
        <v>294</v>
      </c>
      <c r="D19" s="5">
        <v>1</v>
      </c>
      <c r="E19" s="4">
        <v>45947</v>
      </c>
      <c r="F19" s="2" t="s">
        <v>374</v>
      </c>
      <c r="G19" s="7">
        <f>_xlfn.XLOOKUP(HistoricoCompras[[#This Row],[ID do Produto]],ProdutosCadastro[ID Produto],ProdutosCadastro[Preço de Venda])*HistoricoCompras[[#This Row],[Qtde de Produtos Comprados]]</f>
        <v>9.2899999999999991</v>
      </c>
    </row>
    <row r="20" spans="1:7" x14ac:dyDescent="0.3">
      <c r="A20" s="3" t="s">
        <v>408</v>
      </c>
      <c r="B20" s="3" t="s">
        <v>180</v>
      </c>
      <c r="C20" s="3" t="s">
        <v>312</v>
      </c>
      <c r="D20" s="5">
        <v>3</v>
      </c>
      <c r="E20" s="4">
        <v>45952</v>
      </c>
      <c r="F20" s="2" t="s">
        <v>374</v>
      </c>
      <c r="G20" s="7">
        <f>_xlfn.XLOOKUP(HistoricoCompras[[#This Row],[ID do Produto]],ProdutosCadastro[ID Produto],ProdutosCadastro[Preço de Venda])*HistoricoCompras[[#This Row],[Qtde de Produtos Comprados]]</f>
        <v>34.47</v>
      </c>
    </row>
    <row r="21" spans="1:7" x14ac:dyDescent="0.3">
      <c r="A21" s="3" t="s">
        <v>409</v>
      </c>
      <c r="B21" s="3" t="s">
        <v>110</v>
      </c>
      <c r="C21" s="3" t="s">
        <v>275</v>
      </c>
      <c r="D21" s="5">
        <v>8</v>
      </c>
      <c r="E21" s="4">
        <v>45952</v>
      </c>
      <c r="F21" s="2" t="s">
        <v>378</v>
      </c>
      <c r="G21" s="7">
        <f>_xlfn.XLOOKUP(HistoricoCompras[[#This Row],[ID do Produto]],ProdutosCadastro[ID Produto],ProdutosCadastro[Preço de Venda])*HistoricoCompras[[#This Row],[Qtde de Produtos Comprados]]</f>
        <v>175.2</v>
      </c>
    </row>
    <row r="22" spans="1:7" x14ac:dyDescent="0.3">
      <c r="A22" s="3" t="s">
        <v>410</v>
      </c>
      <c r="B22" s="3" t="s">
        <v>96</v>
      </c>
      <c r="C22" s="3" t="s">
        <v>312</v>
      </c>
      <c r="D22" s="5">
        <v>7</v>
      </c>
      <c r="E22" s="4">
        <v>45956</v>
      </c>
      <c r="F22" s="2" t="s">
        <v>377</v>
      </c>
      <c r="G22" s="7">
        <f>_xlfn.XLOOKUP(HistoricoCompras[[#This Row],[ID do Produto]],ProdutosCadastro[ID Produto],ProdutosCadastro[Preço de Venda])*HistoricoCompras[[#This Row],[Qtde de Produtos Comprados]]</f>
        <v>80.430000000000007</v>
      </c>
    </row>
    <row r="23" spans="1:7" x14ac:dyDescent="0.3">
      <c r="A23" s="3" t="s">
        <v>411</v>
      </c>
      <c r="B23" s="3" t="s">
        <v>72</v>
      </c>
      <c r="C23" s="3" t="s">
        <v>254</v>
      </c>
      <c r="D23" s="5">
        <v>5</v>
      </c>
      <c r="E23" s="4">
        <v>45961</v>
      </c>
      <c r="F23" s="2" t="s">
        <v>376</v>
      </c>
      <c r="G23" s="7">
        <f>_xlfn.XLOOKUP(HistoricoCompras[[#This Row],[ID do Produto]],ProdutosCadastro[ID Produto],ProdutosCadastro[Preço de Venda])*HistoricoCompras[[#This Row],[Qtde de Produtos Comprados]]</f>
        <v>149.5</v>
      </c>
    </row>
    <row r="24" spans="1:7" x14ac:dyDescent="0.3">
      <c r="A24" s="3" t="s">
        <v>412</v>
      </c>
      <c r="B24" s="3" t="s">
        <v>151</v>
      </c>
      <c r="C24" s="3" t="s">
        <v>336</v>
      </c>
      <c r="D24" s="5">
        <v>8</v>
      </c>
      <c r="E24" s="4">
        <v>45964</v>
      </c>
      <c r="F24" s="2" t="s">
        <v>378</v>
      </c>
      <c r="G24" s="7">
        <f>_xlfn.XLOOKUP(HistoricoCompras[[#This Row],[ID do Produto]],ProdutosCadastro[ID Produto],ProdutosCadastro[Preço de Venda])*HistoricoCompras[[#This Row],[Qtde de Produtos Comprados]]</f>
        <v>23.92</v>
      </c>
    </row>
    <row r="25" spans="1:7" x14ac:dyDescent="0.3">
      <c r="A25" s="3" t="s">
        <v>413</v>
      </c>
      <c r="B25" s="3" t="s">
        <v>156</v>
      </c>
      <c r="C25" s="3" t="s">
        <v>342</v>
      </c>
      <c r="D25" s="5">
        <v>3</v>
      </c>
      <c r="E25" s="4">
        <v>45966</v>
      </c>
      <c r="F25" s="2" t="s">
        <v>374</v>
      </c>
      <c r="G25" s="7">
        <f>_xlfn.XLOOKUP(HistoricoCompras[[#This Row],[ID do Produto]],ProdutosCadastro[ID Produto],ProdutosCadastro[Preço de Venda])*HistoricoCompras[[#This Row],[Qtde de Produtos Comprados]]</f>
        <v>15.870000000000001</v>
      </c>
    </row>
    <row r="26" spans="1:7" x14ac:dyDescent="0.3">
      <c r="A26" s="3" t="s">
        <v>414</v>
      </c>
      <c r="B26" s="3" t="s">
        <v>191</v>
      </c>
      <c r="C26" s="3" t="s">
        <v>268</v>
      </c>
      <c r="D26" s="5">
        <v>4</v>
      </c>
      <c r="E26" s="4">
        <v>45966</v>
      </c>
      <c r="F26" s="2" t="s">
        <v>376</v>
      </c>
      <c r="G26" s="7">
        <f>_xlfn.XLOOKUP(HistoricoCompras[[#This Row],[ID do Produto]],ProdutosCadastro[ID Produto],ProdutosCadastro[Preço de Venda])*HistoricoCompras[[#This Row],[Qtde de Produtos Comprados]]</f>
        <v>11.16</v>
      </c>
    </row>
    <row r="27" spans="1:7" x14ac:dyDescent="0.3">
      <c r="A27" s="3" t="s">
        <v>415</v>
      </c>
      <c r="B27" s="3" t="s">
        <v>80</v>
      </c>
      <c r="C27" s="3" t="s">
        <v>357</v>
      </c>
      <c r="D27" s="5">
        <v>1</v>
      </c>
      <c r="E27" s="4">
        <v>45967</v>
      </c>
      <c r="F27" s="2" t="s">
        <v>378</v>
      </c>
      <c r="G27" s="7">
        <f>_xlfn.XLOOKUP(HistoricoCompras[[#This Row],[ID do Produto]],ProdutosCadastro[ID Produto],ProdutosCadastro[Preço de Venda])*HistoricoCompras[[#This Row],[Qtde de Produtos Comprados]]</f>
        <v>6.29</v>
      </c>
    </row>
    <row r="28" spans="1:7" x14ac:dyDescent="0.3">
      <c r="A28" s="3" t="s">
        <v>416</v>
      </c>
      <c r="B28" s="3" t="s">
        <v>118</v>
      </c>
      <c r="C28" s="3" t="s">
        <v>316</v>
      </c>
      <c r="D28" s="5">
        <v>5</v>
      </c>
      <c r="E28" s="4">
        <v>45977</v>
      </c>
      <c r="F28" s="2" t="s">
        <v>376</v>
      </c>
      <c r="G28" s="7">
        <f>_xlfn.XLOOKUP(HistoricoCompras[[#This Row],[ID do Produto]],ProdutosCadastro[ID Produto],ProdutosCadastro[Preço de Venda])*HistoricoCompras[[#This Row],[Qtde de Produtos Comprados]]</f>
        <v>13.95</v>
      </c>
    </row>
    <row r="29" spans="1:7" x14ac:dyDescent="0.3">
      <c r="A29" s="3" t="s">
        <v>417</v>
      </c>
      <c r="B29" s="3" t="s">
        <v>174</v>
      </c>
      <c r="C29" s="3" t="s">
        <v>316</v>
      </c>
      <c r="D29" s="5">
        <v>7</v>
      </c>
      <c r="E29" s="4">
        <v>45994</v>
      </c>
      <c r="F29" s="2" t="s">
        <v>377</v>
      </c>
      <c r="G29" s="7">
        <f>_xlfn.XLOOKUP(HistoricoCompras[[#This Row],[ID do Produto]],ProdutosCadastro[ID Produto],ProdutosCadastro[Preço de Venda])*HistoricoCompras[[#This Row],[Qtde de Produtos Comprados]]</f>
        <v>19.53</v>
      </c>
    </row>
    <row r="30" spans="1:7" x14ac:dyDescent="0.3">
      <c r="A30" s="3" t="s">
        <v>418</v>
      </c>
      <c r="B30" s="3" t="s">
        <v>212</v>
      </c>
      <c r="C30" s="3" t="s">
        <v>320</v>
      </c>
      <c r="D30" s="5">
        <v>2</v>
      </c>
      <c r="E30" s="4">
        <v>45996</v>
      </c>
      <c r="F30" s="2" t="s">
        <v>376</v>
      </c>
      <c r="G30" s="7">
        <f>_xlfn.XLOOKUP(HistoricoCompras[[#This Row],[ID do Produto]],ProdutosCadastro[ID Produto],ProdutosCadastro[Preço de Venda])*HistoricoCompras[[#This Row],[Qtde de Produtos Comprados]]</f>
        <v>5.38</v>
      </c>
    </row>
    <row r="31" spans="1:7" x14ac:dyDescent="0.3">
      <c r="A31" s="3" t="s">
        <v>419</v>
      </c>
      <c r="B31" s="3" t="s">
        <v>212</v>
      </c>
      <c r="C31" s="3" t="s">
        <v>355</v>
      </c>
      <c r="D31" s="5">
        <v>8</v>
      </c>
      <c r="E31" s="4">
        <v>45999</v>
      </c>
      <c r="F31" s="2" t="s">
        <v>377</v>
      </c>
      <c r="G31" s="7">
        <f>_xlfn.XLOOKUP(HistoricoCompras[[#This Row],[ID do Produto]],ProdutosCadastro[ID Produto],ProdutosCadastro[Preço de Venda])*HistoricoCompras[[#This Row],[Qtde de Produtos Comprados]]</f>
        <v>63.92</v>
      </c>
    </row>
    <row r="32" spans="1:7" x14ac:dyDescent="0.3">
      <c r="A32" s="3" t="s">
        <v>420</v>
      </c>
      <c r="B32" s="3" t="s">
        <v>162</v>
      </c>
      <c r="C32" s="3" t="s">
        <v>338</v>
      </c>
      <c r="D32" s="5">
        <v>7</v>
      </c>
      <c r="E32" s="4">
        <v>46001</v>
      </c>
      <c r="F32" s="2" t="s">
        <v>377</v>
      </c>
      <c r="G32" s="7">
        <f>_xlfn.XLOOKUP(HistoricoCompras[[#This Row],[ID do Produto]],ProdutosCadastro[ID Produto],ProdutosCadastro[Preço de Venda])*HistoricoCompras[[#This Row],[Qtde de Produtos Comprados]]</f>
        <v>87.43</v>
      </c>
    </row>
    <row r="33" spans="1:7" x14ac:dyDescent="0.3">
      <c r="A33" s="3" t="s">
        <v>421</v>
      </c>
      <c r="B33" s="3" t="s">
        <v>25</v>
      </c>
      <c r="C33" s="3" t="s">
        <v>292</v>
      </c>
      <c r="D33" s="5">
        <v>6</v>
      </c>
      <c r="E33" s="4">
        <v>46002</v>
      </c>
      <c r="F33" s="2" t="s">
        <v>377</v>
      </c>
      <c r="G33" s="7">
        <f>_xlfn.XLOOKUP(HistoricoCompras[[#This Row],[ID do Produto]],ProdutosCadastro[ID Produto],ProdutosCadastro[Preço de Venda])*HistoricoCompras[[#This Row],[Qtde de Produtos Comprados]]</f>
        <v>19.740000000000002</v>
      </c>
    </row>
    <row r="34" spans="1:7" x14ac:dyDescent="0.3">
      <c r="A34" s="3" t="s">
        <v>422</v>
      </c>
      <c r="B34" s="3" t="s">
        <v>185</v>
      </c>
      <c r="C34" s="3" t="s">
        <v>299</v>
      </c>
      <c r="D34" s="5">
        <v>7</v>
      </c>
      <c r="E34" s="4">
        <v>46006</v>
      </c>
      <c r="F34" s="2" t="s">
        <v>375</v>
      </c>
      <c r="G34" s="7">
        <f>_xlfn.XLOOKUP(HistoricoCompras[[#This Row],[ID do Produto]],ProdutosCadastro[ID Produto],ProdutosCadastro[Preço de Venda])*HistoricoCompras[[#This Row],[Qtde de Produtos Comprados]]</f>
        <v>59.43</v>
      </c>
    </row>
    <row r="35" spans="1:7" x14ac:dyDescent="0.3">
      <c r="A35" s="3" t="s">
        <v>423</v>
      </c>
      <c r="B35" s="3" t="s">
        <v>162</v>
      </c>
      <c r="C35" s="3" t="s">
        <v>314</v>
      </c>
      <c r="D35" s="5">
        <v>8</v>
      </c>
      <c r="E35" s="4">
        <v>46006</v>
      </c>
      <c r="F35" s="2" t="s">
        <v>378</v>
      </c>
      <c r="G35" s="7">
        <f>_xlfn.XLOOKUP(HistoricoCompras[[#This Row],[ID do Produto]],ProdutosCadastro[ID Produto],ProdutosCadastro[Preço de Venda])*HistoricoCompras[[#This Row],[Qtde de Produtos Comprados]]</f>
        <v>75.92</v>
      </c>
    </row>
    <row r="36" spans="1:7" x14ac:dyDescent="0.3">
      <c r="A36" s="3" t="s">
        <v>424</v>
      </c>
      <c r="B36" s="3" t="s">
        <v>206</v>
      </c>
      <c r="C36" s="3" t="s">
        <v>271</v>
      </c>
      <c r="D36" s="5">
        <v>3</v>
      </c>
      <c r="E36" s="4">
        <v>46014</v>
      </c>
      <c r="F36" s="2" t="s">
        <v>374</v>
      </c>
      <c r="G36" s="7">
        <f>_xlfn.XLOOKUP(HistoricoCompras[[#This Row],[ID do Produto]],ProdutosCadastro[ID Produto],ProdutosCadastro[Preço de Venda])*HistoricoCompras[[#This Row],[Qtde de Produtos Comprados]]</f>
        <v>23.97</v>
      </c>
    </row>
    <row r="37" spans="1:7" x14ac:dyDescent="0.3">
      <c r="A37" s="3" t="s">
        <v>425</v>
      </c>
      <c r="B37" s="3" t="s">
        <v>145</v>
      </c>
      <c r="C37" s="3" t="s">
        <v>257</v>
      </c>
      <c r="D37" s="5">
        <v>6</v>
      </c>
      <c r="E37" s="4">
        <v>46026</v>
      </c>
      <c r="F37" s="2" t="s">
        <v>375</v>
      </c>
      <c r="G37" s="7">
        <f>_xlfn.XLOOKUP(HistoricoCompras[[#This Row],[ID do Produto]],ProdutosCadastro[ID Produto],ProdutosCadastro[Preço de Venda])*HistoricoCompras[[#This Row],[Qtde de Produtos Comprados]]</f>
        <v>56.94</v>
      </c>
    </row>
    <row r="38" spans="1:7" x14ac:dyDescent="0.3">
      <c r="A38" s="3" t="s">
        <v>426</v>
      </c>
      <c r="B38" s="3" t="s">
        <v>199</v>
      </c>
      <c r="C38" s="3" t="s">
        <v>353</v>
      </c>
      <c r="D38" s="5">
        <v>1</v>
      </c>
      <c r="E38" s="4">
        <v>46026</v>
      </c>
      <c r="F38" s="2" t="s">
        <v>374</v>
      </c>
      <c r="G38" s="7">
        <f>_xlfn.XLOOKUP(HistoricoCompras[[#This Row],[ID do Produto]],ProdutosCadastro[ID Produto],ProdutosCadastro[Preço de Venda])*HistoricoCompras[[#This Row],[Qtde de Produtos Comprados]]</f>
        <v>10.9</v>
      </c>
    </row>
    <row r="39" spans="1:7" x14ac:dyDescent="0.3">
      <c r="A39" s="3" t="s">
        <v>427</v>
      </c>
      <c r="B39" s="3" t="s">
        <v>151</v>
      </c>
      <c r="C39" s="3" t="s">
        <v>353</v>
      </c>
      <c r="D39" s="5">
        <v>7</v>
      </c>
      <c r="E39" s="4">
        <v>46027</v>
      </c>
      <c r="F39" s="2" t="s">
        <v>377</v>
      </c>
      <c r="G39" s="7">
        <f>_xlfn.XLOOKUP(HistoricoCompras[[#This Row],[ID do Produto]],ProdutosCadastro[ID Produto],ProdutosCadastro[Preço de Venda])*HistoricoCompras[[#This Row],[Qtde de Produtos Comprados]]</f>
        <v>76.3</v>
      </c>
    </row>
    <row r="40" spans="1:7" x14ac:dyDescent="0.3">
      <c r="A40" s="3" t="s">
        <v>428</v>
      </c>
      <c r="B40" s="3" t="s">
        <v>162</v>
      </c>
      <c r="C40" s="3" t="s">
        <v>344</v>
      </c>
      <c r="D40" s="5">
        <v>2</v>
      </c>
      <c r="E40" s="4">
        <v>46029</v>
      </c>
      <c r="F40" s="2" t="s">
        <v>378</v>
      </c>
      <c r="G40" s="7">
        <f>_xlfn.XLOOKUP(HistoricoCompras[[#This Row],[ID do Produto]],ProdutosCadastro[ID Produto],ProdutosCadastro[Preço de Venda])*HistoricoCompras[[#This Row],[Qtde de Produtos Comprados]]</f>
        <v>23.8</v>
      </c>
    </row>
    <row r="41" spans="1:7" x14ac:dyDescent="0.3">
      <c r="A41" s="3" t="s">
        <v>429</v>
      </c>
      <c r="B41" s="3" t="s">
        <v>199</v>
      </c>
      <c r="C41" s="3" t="s">
        <v>283</v>
      </c>
      <c r="D41" s="5">
        <v>7</v>
      </c>
      <c r="E41" s="4">
        <v>46037</v>
      </c>
      <c r="F41" s="2" t="s">
        <v>375</v>
      </c>
      <c r="G41" s="7">
        <f>_xlfn.XLOOKUP(HistoricoCompras[[#This Row],[ID do Produto]],ProdutosCadastro[ID Produto],ProdutosCadastro[Preço de Venda])*HistoricoCompras[[#This Row],[Qtde de Produtos Comprados]]</f>
        <v>83.93</v>
      </c>
    </row>
    <row r="42" spans="1:7" x14ac:dyDescent="0.3">
      <c r="A42" s="3" t="s">
        <v>430</v>
      </c>
      <c r="B42" s="3" t="s">
        <v>65</v>
      </c>
      <c r="C42" s="3" t="s">
        <v>265</v>
      </c>
      <c r="D42" s="5">
        <v>1</v>
      </c>
      <c r="E42" s="4">
        <v>46051</v>
      </c>
      <c r="F42" s="2" t="s">
        <v>378</v>
      </c>
      <c r="G42" s="7">
        <f>_xlfn.XLOOKUP(HistoricoCompras[[#This Row],[ID do Produto]],ProdutosCadastro[ID Produto],ProdutosCadastro[Preço de Venda])*HistoricoCompras[[#This Row],[Qtde de Produtos Comprados]]</f>
        <v>4.29</v>
      </c>
    </row>
    <row r="43" spans="1:7" x14ac:dyDescent="0.3">
      <c r="A43" s="3" t="s">
        <v>431</v>
      </c>
      <c r="B43" s="3" t="s">
        <v>72</v>
      </c>
      <c r="C43" s="3" t="s">
        <v>351</v>
      </c>
      <c r="D43" s="5">
        <v>6</v>
      </c>
      <c r="E43" s="4">
        <v>46051</v>
      </c>
      <c r="F43" s="2" t="s">
        <v>375</v>
      </c>
      <c r="G43" s="7">
        <f>_xlfn.XLOOKUP(HistoricoCompras[[#This Row],[ID do Produto]],ProdutosCadastro[ID Produto],ProdutosCadastro[Preço de Venda])*HistoricoCompras[[#This Row],[Qtde de Produtos Comprados]]</f>
        <v>38.94</v>
      </c>
    </row>
    <row r="44" spans="1:7" x14ac:dyDescent="0.3">
      <c r="A44" s="3" t="s">
        <v>432</v>
      </c>
      <c r="B44" s="3" t="s">
        <v>18</v>
      </c>
      <c r="C44" s="3" t="s">
        <v>323</v>
      </c>
      <c r="D44" s="5">
        <v>1</v>
      </c>
      <c r="E44" s="4">
        <v>46052</v>
      </c>
      <c r="F44" s="2" t="s">
        <v>378</v>
      </c>
      <c r="G44" s="7">
        <f>_xlfn.XLOOKUP(HistoricoCompras[[#This Row],[ID do Produto]],ProdutosCadastro[ID Produto],ProdutosCadastro[Preço de Venda])*HistoricoCompras[[#This Row],[Qtde de Produtos Comprados]]</f>
        <v>18.899999999999999</v>
      </c>
    </row>
    <row r="45" spans="1:7" x14ac:dyDescent="0.3">
      <c r="A45" s="3" t="s">
        <v>433</v>
      </c>
      <c r="B45" s="3" t="s">
        <v>133</v>
      </c>
      <c r="C45" s="3" t="s">
        <v>265</v>
      </c>
      <c r="D45" s="5">
        <v>3</v>
      </c>
      <c r="E45" s="4">
        <v>46056</v>
      </c>
      <c r="F45" s="2" t="s">
        <v>376</v>
      </c>
      <c r="G45" s="7">
        <f>_xlfn.XLOOKUP(HistoricoCompras[[#This Row],[ID do Produto]],ProdutosCadastro[ID Produto],ProdutosCadastro[Preço de Venda])*HistoricoCompras[[#This Row],[Qtde de Produtos Comprados]]</f>
        <v>12.870000000000001</v>
      </c>
    </row>
    <row r="46" spans="1:7" x14ac:dyDescent="0.3">
      <c r="A46" s="3" t="s">
        <v>434</v>
      </c>
      <c r="B46" s="3" t="s">
        <v>103</v>
      </c>
      <c r="C46" s="3" t="s">
        <v>314</v>
      </c>
      <c r="D46" s="5">
        <v>6</v>
      </c>
      <c r="E46" s="4">
        <v>46057</v>
      </c>
      <c r="F46" s="2" t="s">
        <v>375</v>
      </c>
      <c r="G46" s="7">
        <f>_xlfn.XLOOKUP(HistoricoCompras[[#This Row],[ID do Produto]],ProdutosCadastro[ID Produto],ProdutosCadastro[Preço de Venda])*HistoricoCompras[[#This Row],[Qtde de Produtos Comprados]]</f>
        <v>56.94</v>
      </c>
    </row>
    <row r="47" spans="1:7" x14ac:dyDescent="0.3">
      <c r="A47" s="3" t="s">
        <v>435</v>
      </c>
      <c r="B47" s="3" t="s">
        <v>180</v>
      </c>
      <c r="C47" s="3" t="s">
        <v>285</v>
      </c>
      <c r="D47" s="5">
        <v>4</v>
      </c>
      <c r="E47" s="4">
        <v>46059</v>
      </c>
      <c r="F47" s="2" t="s">
        <v>376</v>
      </c>
      <c r="G47" s="7">
        <f>_xlfn.XLOOKUP(HistoricoCompras[[#This Row],[ID do Produto]],ProdutosCadastro[ID Produto],ProdutosCadastro[Preço de Venda])*HistoricoCompras[[#This Row],[Qtde de Produtos Comprados]]</f>
        <v>29.96</v>
      </c>
    </row>
    <row r="48" spans="1:7" x14ac:dyDescent="0.3">
      <c r="A48" s="3" t="s">
        <v>436</v>
      </c>
      <c r="B48" s="3" t="s">
        <v>57</v>
      </c>
      <c r="C48" s="3" t="s">
        <v>359</v>
      </c>
      <c r="D48" s="5">
        <v>3</v>
      </c>
      <c r="E48" s="4">
        <v>46066</v>
      </c>
      <c r="F48" s="2" t="s">
        <v>376</v>
      </c>
      <c r="G48" s="7">
        <f>_xlfn.XLOOKUP(HistoricoCompras[[#This Row],[ID do Produto]],ProdutosCadastro[ID Produto],ProdutosCadastro[Preço de Venda])*HistoricoCompras[[#This Row],[Qtde de Produtos Comprados]]</f>
        <v>17.97</v>
      </c>
    </row>
    <row r="49" spans="1:7" x14ac:dyDescent="0.3">
      <c r="A49" s="3" t="s">
        <v>437</v>
      </c>
      <c r="B49" s="3" t="s">
        <v>174</v>
      </c>
      <c r="C49" s="3" t="s">
        <v>296</v>
      </c>
      <c r="D49" s="5">
        <v>8</v>
      </c>
      <c r="E49" s="4">
        <v>46067</v>
      </c>
      <c r="F49" s="2" t="s">
        <v>378</v>
      </c>
      <c r="G49" s="7">
        <f>_xlfn.XLOOKUP(HistoricoCompras[[#This Row],[ID do Produto]],ProdutosCadastro[ID Produto],ProdutosCadastro[Preço de Venda])*HistoricoCompras[[#This Row],[Qtde de Produtos Comprados]]</f>
        <v>87.2</v>
      </c>
    </row>
    <row r="50" spans="1:7" x14ac:dyDescent="0.3">
      <c r="A50" s="3" t="s">
        <v>438</v>
      </c>
      <c r="B50" s="3" t="s">
        <v>88</v>
      </c>
      <c r="C50" s="3" t="s">
        <v>353</v>
      </c>
      <c r="D50" s="5">
        <v>5</v>
      </c>
      <c r="E50" s="4">
        <v>46069</v>
      </c>
      <c r="F50" s="2" t="s">
        <v>376</v>
      </c>
      <c r="G50" s="7">
        <f>_xlfn.XLOOKUP(HistoricoCompras[[#This Row],[ID do Produto]],ProdutosCadastro[ID Produto],ProdutosCadastro[Preço de Venda])*HistoricoCompras[[#This Row],[Qtde de Produtos Comprados]]</f>
        <v>54.5</v>
      </c>
    </row>
    <row r="51" spans="1:7" x14ac:dyDescent="0.3">
      <c r="A51" s="3" t="s">
        <v>439</v>
      </c>
      <c r="B51" s="3" t="s">
        <v>206</v>
      </c>
      <c r="C51" s="3" t="s">
        <v>349</v>
      </c>
      <c r="D51" s="5">
        <v>5</v>
      </c>
      <c r="E51" s="4">
        <v>46071</v>
      </c>
      <c r="F51" s="2" t="s">
        <v>375</v>
      </c>
      <c r="G51" s="7">
        <f>_xlfn.XLOOKUP(HistoricoCompras[[#This Row],[ID do Produto]],ProdutosCadastro[ID Produto],ProdutosCadastro[Preço de Venda])*HistoricoCompras[[#This Row],[Qtde de Produtos Comprados]]</f>
        <v>27.450000000000003</v>
      </c>
    </row>
    <row r="52" spans="1:7" x14ac:dyDescent="0.3">
      <c r="A52" s="3" t="s">
        <v>440</v>
      </c>
      <c r="B52" s="3" t="s">
        <v>139</v>
      </c>
      <c r="C52" s="3" t="s">
        <v>254</v>
      </c>
      <c r="D52" s="5">
        <v>7</v>
      </c>
      <c r="E52" s="4">
        <v>46072</v>
      </c>
      <c r="F52" s="2" t="s">
        <v>377</v>
      </c>
      <c r="G52" s="7">
        <f>_xlfn.XLOOKUP(HistoricoCompras[[#This Row],[ID do Produto]],ProdutosCadastro[ID Produto],ProdutosCadastro[Preço de Venda])*HistoricoCompras[[#This Row],[Qtde de Produtos Comprados]]</f>
        <v>209.29999999999998</v>
      </c>
    </row>
    <row r="53" spans="1:7" x14ac:dyDescent="0.3">
      <c r="A53" s="3" t="s">
        <v>441</v>
      </c>
      <c r="B53" s="3" t="s">
        <v>174</v>
      </c>
      <c r="C53" s="3" t="s">
        <v>278</v>
      </c>
      <c r="D53" s="5">
        <v>1</v>
      </c>
      <c r="E53" s="4">
        <v>46076</v>
      </c>
      <c r="F53" s="2" t="s">
        <v>374</v>
      </c>
      <c r="G53" s="7">
        <f>_xlfn.XLOOKUP(HistoricoCompras[[#This Row],[ID do Produto]],ProdutosCadastro[ID Produto],ProdutosCadastro[Preço de Venda])*HistoricoCompras[[#This Row],[Qtde de Produtos Comprados]]</f>
        <v>4.8899999999999997</v>
      </c>
    </row>
    <row r="54" spans="1:7" x14ac:dyDescent="0.3">
      <c r="A54" s="3" t="s">
        <v>442</v>
      </c>
      <c r="B54" s="3" t="s">
        <v>191</v>
      </c>
      <c r="C54" s="3" t="s">
        <v>364</v>
      </c>
      <c r="D54" s="5">
        <v>5</v>
      </c>
      <c r="E54" s="4">
        <v>46077</v>
      </c>
      <c r="F54" s="2" t="s">
        <v>375</v>
      </c>
      <c r="G54" s="7">
        <f>_xlfn.XLOOKUP(HistoricoCompras[[#This Row],[ID do Produto]],ProdutosCadastro[ID Produto],ProdutosCadastro[Preço de Venda])*HistoricoCompras[[#This Row],[Qtde de Produtos Comprados]]</f>
        <v>164.5</v>
      </c>
    </row>
    <row r="55" spans="1:7" x14ac:dyDescent="0.3">
      <c r="A55" s="3" t="s">
        <v>443</v>
      </c>
      <c r="B55" s="3" t="s">
        <v>80</v>
      </c>
      <c r="C55" s="3" t="s">
        <v>333</v>
      </c>
      <c r="D55" s="5">
        <v>7</v>
      </c>
      <c r="E55" s="4">
        <v>46077</v>
      </c>
      <c r="F55" s="2" t="s">
        <v>378</v>
      </c>
      <c r="G55" s="7">
        <f>_xlfn.XLOOKUP(HistoricoCompras[[#This Row],[ID do Produto]],ProdutosCadastro[ID Produto],ProdutosCadastro[Preço de Venda])*HistoricoCompras[[#This Row],[Qtde de Produtos Comprados]]</f>
        <v>146.29999999999998</v>
      </c>
    </row>
    <row r="56" spans="1:7" x14ac:dyDescent="0.3">
      <c r="A56" s="3" t="s">
        <v>444</v>
      </c>
      <c r="B56" s="3" t="s">
        <v>118</v>
      </c>
      <c r="C56" s="3" t="s">
        <v>263</v>
      </c>
      <c r="D56" s="5">
        <v>4</v>
      </c>
      <c r="E56" s="4">
        <v>46079</v>
      </c>
      <c r="F56" s="2" t="s">
        <v>375</v>
      </c>
      <c r="G56" s="7">
        <f>_xlfn.XLOOKUP(HistoricoCompras[[#This Row],[ID do Produto]],ProdutosCadastro[ID Produto],ProdutosCadastro[Preço de Venda])*HistoricoCompras[[#This Row],[Qtde de Produtos Comprados]]</f>
        <v>23.96</v>
      </c>
    </row>
    <row r="57" spans="1:7" x14ac:dyDescent="0.3">
      <c r="A57" s="3" t="s">
        <v>445</v>
      </c>
      <c r="B57" s="3" t="s">
        <v>10</v>
      </c>
      <c r="C57" s="3" t="s">
        <v>327</v>
      </c>
      <c r="D57" s="5">
        <v>5</v>
      </c>
      <c r="E57" s="4">
        <v>46084</v>
      </c>
      <c r="F57" s="2" t="s">
        <v>375</v>
      </c>
      <c r="G57" s="7">
        <f>_xlfn.XLOOKUP(HistoricoCompras[[#This Row],[ID do Produto]],ProdutosCadastro[ID Produto],ProdutosCadastro[Preço de Venda])*HistoricoCompras[[#This Row],[Qtde de Produtos Comprados]]</f>
        <v>29.950000000000003</v>
      </c>
    </row>
    <row r="58" spans="1:7" x14ac:dyDescent="0.3">
      <c r="A58" s="3" t="s">
        <v>446</v>
      </c>
      <c r="B58" s="3" t="s">
        <v>212</v>
      </c>
      <c r="C58" s="3" t="s">
        <v>259</v>
      </c>
      <c r="D58" s="5">
        <v>7</v>
      </c>
      <c r="E58" s="4">
        <v>46087</v>
      </c>
      <c r="F58" s="2" t="s">
        <v>375</v>
      </c>
      <c r="G58" s="7">
        <f>_xlfn.XLOOKUP(HistoricoCompras[[#This Row],[ID do Produto]],ProdutosCadastro[ID Produto],ProdutosCadastro[Preço de Venda])*HistoricoCompras[[#This Row],[Qtde de Produtos Comprados]]</f>
        <v>33.53</v>
      </c>
    </row>
    <row r="59" spans="1:7" x14ac:dyDescent="0.3">
      <c r="A59" s="3" t="s">
        <v>447</v>
      </c>
      <c r="B59" s="3" t="s">
        <v>145</v>
      </c>
      <c r="C59" s="3" t="s">
        <v>340</v>
      </c>
      <c r="D59" s="5">
        <v>4</v>
      </c>
      <c r="E59" s="4">
        <v>46087</v>
      </c>
      <c r="F59" s="2" t="s">
        <v>375</v>
      </c>
      <c r="G59" s="7">
        <f>_xlfn.XLOOKUP(HistoricoCompras[[#This Row],[ID do Produto]],ProdutosCadastro[ID Produto],ProdutosCadastro[Preço de Venda])*HistoricoCompras[[#This Row],[Qtde de Produtos Comprados]]</f>
        <v>51.6</v>
      </c>
    </row>
    <row r="60" spans="1:7" x14ac:dyDescent="0.3">
      <c r="A60" s="3" t="s">
        <v>448</v>
      </c>
      <c r="B60" s="3" t="s">
        <v>80</v>
      </c>
      <c r="C60" s="3" t="s">
        <v>340</v>
      </c>
      <c r="D60" s="5">
        <v>2</v>
      </c>
      <c r="E60" s="4">
        <v>46091</v>
      </c>
      <c r="F60" s="2" t="s">
        <v>374</v>
      </c>
      <c r="G60" s="7">
        <f>_xlfn.XLOOKUP(HistoricoCompras[[#This Row],[ID do Produto]],ProdutosCadastro[ID Produto],ProdutosCadastro[Preço de Venda])*HistoricoCompras[[#This Row],[Qtde de Produtos Comprados]]</f>
        <v>25.8</v>
      </c>
    </row>
    <row r="61" spans="1:7" x14ac:dyDescent="0.3">
      <c r="A61" s="3" t="s">
        <v>449</v>
      </c>
      <c r="B61" s="3" t="s">
        <v>96</v>
      </c>
      <c r="C61" s="3" t="s">
        <v>325</v>
      </c>
      <c r="D61" s="5">
        <v>2</v>
      </c>
      <c r="E61" s="4">
        <v>46094</v>
      </c>
      <c r="F61" s="2" t="s">
        <v>374</v>
      </c>
      <c r="G61" s="7">
        <f>_xlfn.XLOOKUP(HistoricoCompras[[#This Row],[ID do Produto]],ProdutosCadastro[ID Produto],ProdutosCadastro[Preço de Venda])*HistoricoCompras[[#This Row],[Qtde de Produtos Comprados]]</f>
        <v>20.98</v>
      </c>
    </row>
    <row r="62" spans="1:7" x14ac:dyDescent="0.3">
      <c r="A62" s="3" t="s">
        <v>450</v>
      </c>
      <c r="B62" s="3" t="s">
        <v>72</v>
      </c>
      <c r="C62" s="3" t="s">
        <v>338</v>
      </c>
      <c r="D62" s="5">
        <v>3</v>
      </c>
      <c r="E62" s="4">
        <v>46099</v>
      </c>
      <c r="F62" s="2" t="s">
        <v>376</v>
      </c>
      <c r="G62" s="7">
        <f>_xlfn.XLOOKUP(HistoricoCompras[[#This Row],[ID do Produto]],ProdutosCadastro[ID Produto],ProdutosCadastro[Preço de Venda])*HistoricoCompras[[#This Row],[Qtde de Produtos Comprados]]</f>
        <v>37.47</v>
      </c>
    </row>
    <row r="63" spans="1:7" x14ac:dyDescent="0.3">
      <c r="A63" s="3" t="s">
        <v>451</v>
      </c>
      <c r="B63" s="3" t="s">
        <v>49</v>
      </c>
      <c r="C63" s="3" t="s">
        <v>302</v>
      </c>
      <c r="D63" s="5">
        <v>8</v>
      </c>
      <c r="E63" s="4">
        <v>46102</v>
      </c>
      <c r="F63" s="2" t="s">
        <v>377</v>
      </c>
      <c r="G63" s="7">
        <f>_xlfn.XLOOKUP(HistoricoCompras[[#This Row],[ID do Produto]],ProdutosCadastro[ID Produto],ProdutosCadastro[Preço de Venda])*HistoricoCompras[[#This Row],[Qtde de Produtos Comprados]]</f>
        <v>38.32</v>
      </c>
    </row>
    <row r="64" spans="1:7" x14ac:dyDescent="0.3">
      <c r="A64" s="3" t="s">
        <v>452</v>
      </c>
      <c r="B64" s="3" t="s">
        <v>180</v>
      </c>
      <c r="C64" s="3" t="s">
        <v>265</v>
      </c>
      <c r="D64" s="5">
        <v>5</v>
      </c>
      <c r="E64" s="4">
        <v>46102</v>
      </c>
      <c r="F64" s="2" t="s">
        <v>375</v>
      </c>
      <c r="G64" s="7">
        <f>_xlfn.XLOOKUP(HistoricoCompras[[#This Row],[ID do Produto]],ProdutosCadastro[ID Produto],ProdutosCadastro[Preço de Venda])*HistoricoCompras[[#This Row],[Qtde de Produtos Comprados]]</f>
        <v>21.45</v>
      </c>
    </row>
    <row r="65" spans="1:7" x14ac:dyDescent="0.3">
      <c r="A65" s="3" t="s">
        <v>453</v>
      </c>
      <c r="B65" s="3" t="s">
        <v>65</v>
      </c>
      <c r="C65" s="3" t="s">
        <v>355</v>
      </c>
      <c r="D65" s="5">
        <v>2</v>
      </c>
      <c r="E65" s="4">
        <v>46107</v>
      </c>
      <c r="F65" s="2" t="s">
        <v>374</v>
      </c>
      <c r="G65" s="7">
        <f>_xlfn.XLOOKUP(HistoricoCompras[[#This Row],[ID do Produto]],ProdutosCadastro[ID Produto],ProdutosCadastro[Preço de Venda])*HistoricoCompras[[#This Row],[Qtde de Produtos Comprados]]</f>
        <v>15.98</v>
      </c>
    </row>
    <row r="66" spans="1:7" x14ac:dyDescent="0.3">
      <c r="A66" s="3" t="s">
        <v>454</v>
      </c>
      <c r="B66" s="3" t="s">
        <v>199</v>
      </c>
      <c r="C66" s="3" t="s">
        <v>336</v>
      </c>
      <c r="D66" s="5">
        <v>2</v>
      </c>
      <c r="E66" s="4">
        <v>46107</v>
      </c>
      <c r="F66" s="2" t="s">
        <v>376</v>
      </c>
      <c r="G66" s="7">
        <f>_xlfn.XLOOKUP(HistoricoCompras[[#This Row],[ID do Produto]],ProdutosCadastro[ID Produto],ProdutosCadastro[Preço de Venda])*HistoricoCompras[[#This Row],[Qtde de Produtos Comprados]]</f>
        <v>5.98</v>
      </c>
    </row>
    <row r="67" spans="1:7" x14ac:dyDescent="0.3">
      <c r="A67" s="3" t="s">
        <v>455</v>
      </c>
      <c r="B67" s="3" t="s">
        <v>110</v>
      </c>
      <c r="C67" s="3" t="s">
        <v>302</v>
      </c>
      <c r="D67" s="5">
        <v>2</v>
      </c>
      <c r="E67" s="4">
        <v>46116</v>
      </c>
      <c r="F67" s="2" t="s">
        <v>374</v>
      </c>
      <c r="G67" s="7">
        <f>_xlfn.XLOOKUP(HistoricoCompras[[#This Row],[ID do Produto]],ProdutosCadastro[ID Produto],ProdutosCadastro[Preço de Venda])*HistoricoCompras[[#This Row],[Qtde de Produtos Comprados]]</f>
        <v>9.58</v>
      </c>
    </row>
    <row r="68" spans="1:7" x14ac:dyDescent="0.3">
      <c r="A68" s="3" t="s">
        <v>456</v>
      </c>
      <c r="B68" s="3" t="s">
        <v>25</v>
      </c>
      <c r="C68" s="3" t="s">
        <v>312</v>
      </c>
      <c r="D68" s="5">
        <v>5</v>
      </c>
      <c r="E68" s="4">
        <v>46116</v>
      </c>
      <c r="F68" s="2" t="s">
        <v>375</v>
      </c>
      <c r="G68" s="7">
        <f>_xlfn.XLOOKUP(HistoricoCompras[[#This Row],[ID do Produto]],ProdutosCadastro[ID Produto],ProdutosCadastro[Preço de Venda])*HistoricoCompras[[#This Row],[Qtde de Produtos Comprados]]</f>
        <v>57.45</v>
      </c>
    </row>
    <row r="69" spans="1:7" x14ac:dyDescent="0.3">
      <c r="A69" s="3" t="s">
        <v>457</v>
      </c>
      <c r="B69" s="3" t="s">
        <v>41</v>
      </c>
      <c r="C69" s="3" t="s">
        <v>268</v>
      </c>
      <c r="D69" s="5">
        <v>6</v>
      </c>
      <c r="E69" s="4">
        <v>46121</v>
      </c>
      <c r="F69" s="2" t="s">
        <v>377</v>
      </c>
      <c r="G69" s="7">
        <f>_xlfn.XLOOKUP(HistoricoCompras[[#This Row],[ID do Produto]],ProdutosCadastro[ID Produto],ProdutosCadastro[Preço de Venda])*HistoricoCompras[[#This Row],[Qtde de Produtos Comprados]]</f>
        <v>16.740000000000002</v>
      </c>
    </row>
    <row r="70" spans="1:7" x14ac:dyDescent="0.3">
      <c r="A70" s="3" t="s">
        <v>458</v>
      </c>
      <c r="B70" s="3" t="s">
        <v>168</v>
      </c>
      <c r="C70" s="3" t="s">
        <v>327</v>
      </c>
      <c r="D70" s="5">
        <v>3</v>
      </c>
      <c r="E70" s="4">
        <v>46132</v>
      </c>
      <c r="F70" s="2" t="s">
        <v>374</v>
      </c>
      <c r="G70" s="7">
        <f>_xlfn.XLOOKUP(HistoricoCompras[[#This Row],[ID do Produto]],ProdutosCadastro[ID Produto],ProdutosCadastro[Preço de Venda])*HistoricoCompras[[#This Row],[Qtde de Produtos Comprados]]</f>
        <v>17.97</v>
      </c>
    </row>
    <row r="71" spans="1:7" x14ac:dyDescent="0.3">
      <c r="A71" s="3" t="s">
        <v>459</v>
      </c>
      <c r="B71" s="3" t="s">
        <v>18</v>
      </c>
      <c r="C71" s="3" t="s">
        <v>340</v>
      </c>
      <c r="D71" s="5">
        <v>8</v>
      </c>
      <c r="E71" s="4">
        <v>46136</v>
      </c>
      <c r="F71" s="2" t="s">
        <v>377</v>
      </c>
      <c r="G71" s="7">
        <f>_xlfn.XLOOKUP(HistoricoCompras[[#This Row],[ID do Produto]],ProdutosCadastro[ID Produto],ProdutosCadastro[Preço de Venda])*HistoricoCompras[[#This Row],[Qtde de Produtos Comprados]]</f>
        <v>103.2</v>
      </c>
    </row>
    <row r="72" spans="1:7" x14ac:dyDescent="0.3">
      <c r="A72" s="3" t="s">
        <v>460</v>
      </c>
      <c r="B72" s="3" t="s">
        <v>126</v>
      </c>
      <c r="C72" s="3" t="s">
        <v>278</v>
      </c>
      <c r="D72" s="5">
        <v>7</v>
      </c>
      <c r="E72" s="4">
        <v>46136</v>
      </c>
      <c r="F72" s="2" t="s">
        <v>377</v>
      </c>
      <c r="G72" s="7">
        <f>_xlfn.XLOOKUP(HistoricoCompras[[#This Row],[ID do Produto]],ProdutosCadastro[ID Produto],ProdutosCadastro[Preço de Venda])*HistoricoCompras[[#This Row],[Qtde de Produtos Comprados]]</f>
        <v>34.229999999999997</v>
      </c>
    </row>
    <row r="73" spans="1:7" x14ac:dyDescent="0.3">
      <c r="A73" s="3" t="s">
        <v>461</v>
      </c>
      <c r="B73" s="3" t="s">
        <v>133</v>
      </c>
      <c r="C73" s="3" t="s">
        <v>273</v>
      </c>
      <c r="D73" s="5">
        <v>6</v>
      </c>
      <c r="E73" s="4">
        <v>46139</v>
      </c>
      <c r="F73" s="2" t="s">
        <v>375</v>
      </c>
      <c r="G73" s="7">
        <f>_xlfn.XLOOKUP(HistoricoCompras[[#This Row],[ID do Produto]],ProdutosCadastro[ID Produto],ProdutosCadastro[Preço de Venda])*HistoricoCompras[[#This Row],[Qtde de Produtos Comprados]]</f>
        <v>209.39999999999998</v>
      </c>
    </row>
    <row r="74" spans="1:7" x14ac:dyDescent="0.3">
      <c r="A74" s="3" t="s">
        <v>462</v>
      </c>
      <c r="B74" s="3" t="s">
        <v>49</v>
      </c>
      <c r="C74" s="3" t="s">
        <v>263</v>
      </c>
      <c r="D74" s="5">
        <v>2</v>
      </c>
      <c r="E74" s="4">
        <v>46142</v>
      </c>
      <c r="F74" s="2" t="s">
        <v>374</v>
      </c>
      <c r="G74" s="7">
        <f>_xlfn.XLOOKUP(HistoricoCompras[[#This Row],[ID do Produto]],ProdutosCadastro[ID Produto],ProdutosCadastro[Preço de Venda])*HistoricoCompras[[#This Row],[Qtde de Produtos Comprados]]</f>
        <v>11.98</v>
      </c>
    </row>
    <row r="75" spans="1:7" x14ac:dyDescent="0.3">
      <c r="A75" s="3" t="s">
        <v>463</v>
      </c>
      <c r="B75" s="3" t="s">
        <v>168</v>
      </c>
      <c r="C75" s="3" t="s">
        <v>290</v>
      </c>
      <c r="D75" s="5">
        <v>5</v>
      </c>
      <c r="E75" s="4">
        <v>46146</v>
      </c>
      <c r="F75" s="2" t="s">
        <v>375</v>
      </c>
      <c r="G75" s="7">
        <f>_xlfn.XLOOKUP(HistoricoCompras[[#This Row],[ID do Produto]],ProdutosCadastro[ID Produto],ProdutosCadastro[Preço de Venda])*HistoricoCompras[[#This Row],[Qtde de Produtos Comprados]]</f>
        <v>52.45</v>
      </c>
    </row>
    <row r="76" spans="1:7" x14ac:dyDescent="0.3">
      <c r="A76" s="3" t="s">
        <v>464</v>
      </c>
      <c r="B76" s="3" t="s">
        <v>185</v>
      </c>
      <c r="C76" s="3" t="s">
        <v>281</v>
      </c>
      <c r="D76" s="5">
        <v>8</v>
      </c>
      <c r="E76" s="4">
        <v>46147</v>
      </c>
      <c r="F76" s="2" t="s">
        <v>378</v>
      </c>
      <c r="G76" s="7">
        <f>_xlfn.XLOOKUP(HistoricoCompras[[#This Row],[ID do Produto]],ProdutosCadastro[ID Produto],ProdutosCadastro[Preço de Venda])*HistoricoCompras[[#This Row],[Qtde de Produtos Comprados]]</f>
        <v>39.92</v>
      </c>
    </row>
    <row r="77" spans="1:7" x14ac:dyDescent="0.3">
      <c r="A77" s="3" t="s">
        <v>465</v>
      </c>
      <c r="B77" s="3" t="s">
        <v>41</v>
      </c>
      <c r="C77" s="3" t="s">
        <v>314</v>
      </c>
      <c r="D77" s="5">
        <v>4</v>
      </c>
      <c r="E77" s="4">
        <v>46149</v>
      </c>
      <c r="F77" s="2" t="s">
        <v>374</v>
      </c>
      <c r="G77" s="7">
        <f>_xlfn.XLOOKUP(HistoricoCompras[[#This Row],[ID do Produto]],ProdutosCadastro[ID Produto],ProdutosCadastro[Preço de Venda])*HistoricoCompras[[#This Row],[Qtde de Produtos Comprados]]</f>
        <v>37.96</v>
      </c>
    </row>
    <row r="78" spans="1:7" x14ac:dyDescent="0.3">
      <c r="A78" s="3" t="s">
        <v>466</v>
      </c>
      <c r="B78" s="3" t="s">
        <v>57</v>
      </c>
      <c r="C78" s="3" t="s">
        <v>290</v>
      </c>
      <c r="D78" s="5">
        <v>4</v>
      </c>
      <c r="E78" s="4">
        <v>46151</v>
      </c>
      <c r="F78" s="2" t="s">
        <v>374</v>
      </c>
      <c r="G78" s="7">
        <f>_xlfn.XLOOKUP(HistoricoCompras[[#This Row],[ID do Produto]],ProdutosCadastro[ID Produto],ProdutosCadastro[Preço de Venda])*HistoricoCompras[[#This Row],[Qtde de Produtos Comprados]]</f>
        <v>41.96</v>
      </c>
    </row>
    <row r="79" spans="1:7" x14ac:dyDescent="0.3">
      <c r="A79" s="3" t="s">
        <v>467</v>
      </c>
      <c r="B79" s="3" t="s">
        <v>88</v>
      </c>
      <c r="C79" s="3" t="s">
        <v>323</v>
      </c>
      <c r="D79" s="5">
        <v>3</v>
      </c>
      <c r="E79" s="4">
        <v>46151</v>
      </c>
      <c r="F79" s="2" t="s">
        <v>376</v>
      </c>
      <c r="G79" s="7">
        <f>_xlfn.XLOOKUP(HistoricoCompras[[#This Row],[ID do Produto]],ProdutosCadastro[ID Produto],ProdutosCadastro[Preço de Venda])*HistoricoCompras[[#This Row],[Qtde de Produtos Comprados]]</f>
        <v>56.699999999999996</v>
      </c>
    </row>
    <row r="80" spans="1:7" x14ac:dyDescent="0.3">
      <c r="A80" s="3" t="s">
        <v>468</v>
      </c>
      <c r="B80" s="3" t="s">
        <v>49</v>
      </c>
      <c r="C80" s="3" t="s">
        <v>283</v>
      </c>
      <c r="D80" s="5">
        <v>1</v>
      </c>
      <c r="E80" s="4">
        <v>46154</v>
      </c>
      <c r="F80" s="2" t="s">
        <v>378</v>
      </c>
      <c r="G80" s="7">
        <f>_xlfn.XLOOKUP(HistoricoCompras[[#This Row],[ID do Produto]],ProdutosCadastro[ID Produto],ProdutosCadastro[Preço de Venda])*HistoricoCompras[[#This Row],[Qtde de Produtos Comprados]]</f>
        <v>11.99</v>
      </c>
    </row>
    <row r="81" spans="1:7" x14ac:dyDescent="0.3">
      <c r="A81" s="3" t="s">
        <v>469</v>
      </c>
      <c r="B81" s="3" t="s">
        <v>191</v>
      </c>
      <c r="C81" s="3" t="s">
        <v>287</v>
      </c>
      <c r="D81" s="5">
        <v>3</v>
      </c>
      <c r="E81" s="4">
        <v>46156</v>
      </c>
      <c r="F81" s="2" t="s">
        <v>374</v>
      </c>
      <c r="G81" s="7">
        <f>_xlfn.XLOOKUP(HistoricoCompras[[#This Row],[ID do Produto]],ProdutosCadastro[ID Produto],ProdutosCadastro[Preço de Venda])*HistoricoCompras[[#This Row],[Qtde de Produtos Comprados]]</f>
        <v>40.47</v>
      </c>
    </row>
    <row r="82" spans="1:7" x14ac:dyDescent="0.3">
      <c r="A82" s="3" t="s">
        <v>470</v>
      </c>
      <c r="B82" s="3" t="s">
        <v>126</v>
      </c>
      <c r="C82" s="3" t="s">
        <v>285</v>
      </c>
      <c r="D82" s="5">
        <v>2</v>
      </c>
      <c r="E82" s="4">
        <v>46157</v>
      </c>
      <c r="F82" s="2" t="s">
        <v>378</v>
      </c>
      <c r="G82" s="7">
        <f>_xlfn.XLOOKUP(HistoricoCompras[[#This Row],[ID do Produto]],ProdutosCadastro[ID Produto],ProdutosCadastro[Preço de Venda])*HistoricoCompras[[#This Row],[Qtde de Produtos Comprados]]</f>
        <v>14.98</v>
      </c>
    </row>
    <row r="83" spans="1:7" x14ac:dyDescent="0.3">
      <c r="A83" s="3" t="s">
        <v>471</v>
      </c>
      <c r="B83" s="3" t="s">
        <v>25</v>
      </c>
      <c r="C83" s="3" t="s">
        <v>329</v>
      </c>
      <c r="D83" s="5">
        <v>4</v>
      </c>
      <c r="E83" s="4">
        <v>46166</v>
      </c>
      <c r="F83" s="2" t="s">
        <v>376</v>
      </c>
      <c r="G83" s="7">
        <f>_xlfn.XLOOKUP(HistoricoCompras[[#This Row],[ID do Produto]],ProdutosCadastro[ID Produto],ProdutosCadastro[Preço de Venda])*HistoricoCompras[[#This Row],[Qtde de Produtos Comprados]]</f>
        <v>29.96</v>
      </c>
    </row>
    <row r="84" spans="1:7" x14ac:dyDescent="0.3">
      <c r="A84" s="3" t="s">
        <v>472</v>
      </c>
      <c r="B84" s="3" t="s">
        <v>41</v>
      </c>
      <c r="C84" s="3" t="s">
        <v>294</v>
      </c>
      <c r="D84" s="5">
        <v>5</v>
      </c>
      <c r="E84" s="4">
        <v>46167</v>
      </c>
      <c r="F84" s="2" t="s">
        <v>375</v>
      </c>
      <c r="G84" s="7">
        <f>_xlfn.XLOOKUP(HistoricoCompras[[#This Row],[ID do Produto]],ProdutosCadastro[ID Produto],ProdutosCadastro[Preço de Venda])*HistoricoCompras[[#This Row],[Qtde de Produtos Comprados]]</f>
        <v>46.449999999999996</v>
      </c>
    </row>
    <row r="85" spans="1:7" x14ac:dyDescent="0.3">
      <c r="A85" s="3" t="s">
        <v>473</v>
      </c>
      <c r="B85" s="3" t="s">
        <v>168</v>
      </c>
      <c r="C85" s="3" t="s">
        <v>310</v>
      </c>
      <c r="D85" s="5">
        <v>4</v>
      </c>
      <c r="E85" s="4">
        <v>46171</v>
      </c>
      <c r="F85" s="2" t="s">
        <v>376</v>
      </c>
      <c r="G85" s="7">
        <f>_xlfn.XLOOKUP(HistoricoCompras[[#This Row],[ID do Produto]],ProdutosCadastro[ID Produto],ProdutosCadastro[Preço de Venda])*HistoricoCompras[[#This Row],[Qtde de Produtos Comprados]]</f>
        <v>37.96</v>
      </c>
    </row>
    <row r="86" spans="1:7" x14ac:dyDescent="0.3">
      <c r="A86" s="3" t="s">
        <v>474</v>
      </c>
      <c r="B86" s="3" t="s">
        <v>145</v>
      </c>
      <c r="C86" s="3" t="s">
        <v>364</v>
      </c>
      <c r="D86" s="5">
        <v>3</v>
      </c>
      <c r="E86" s="4">
        <v>46184</v>
      </c>
      <c r="F86" s="2" t="s">
        <v>374</v>
      </c>
      <c r="G86" s="7">
        <f>_xlfn.XLOOKUP(HistoricoCompras[[#This Row],[ID do Produto]],ProdutosCadastro[ID Produto],ProdutosCadastro[Preço de Venda])*HistoricoCompras[[#This Row],[Qtde de Produtos Comprados]]</f>
        <v>98.699999999999989</v>
      </c>
    </row>
    <row r="87" spans="1:7" x14ac:dyDescent="0.3">
      <c r="A87" s="3" t="s">
        <v>475</v>
      </c>
      <c r="B87" s="3" t="s">
        <v>206</v>
      </c>
      <c r="C87" s="3" t="s">
        <v>325</v>
      </c>
      <c r="D87" s="5">
        <v>6</v>
      </c>
      <c r="E87" s="4">
        <v>46186</v>
      </c>
      <c r="F87" s="2" t="s">
        <v>377</v>
      </c>
      <c r="G87" s="7">
        <f>_xlfn.XLOOKUP(HistoricoCompras[[#This Row],[ID do Produto]],ProdutosCadastro[ID Produto],ProdutosCadastro[Preço de Venda])*HistoricoCompras[[#This Row],[Qtde de Produtos Comprados]]</f>
        <v>62.94</v>
      </c>
    </row>
    <row r="88" spans="1:7" x14ac:dyDescent="0.3">
      <c r="A88" s="3" t="s">
        <v>476</v>
      </c>
      <c r="B88" s="3" t="s">
        <v>103</v>
      </c>
      <c r="C88" s="3" t="s">
        <v>331</v>
      </c>
      <c r="D88" s="5">
        <v>5</v>
      </c>
      <c r="E88" s="4">
        <v>46196</v>
      </c>
      <c r="F88" s="2" t="s">
        <v>376</v>
      </c>
      <c r="G88" s="7">
        <f>_xlfn.XLOOKUP(HistoricoCompras[[#This Row],[ID do Produto]],ProdutosCadastro[ID Produto],ProdutosCadastro[Preço de Venda])*HistoricoCompras[[#This Row],[Qtde de Produtos Comprados]]</f>
        <v>17.450000000000003</v>
      </c>
    </row>
    <row r="89" spans="1:7" x14ac:dyDescent="0.3">
      <c r="A89" s="3" t="s">
        <v>477</v>
      </c>
      <c r="B89" s="3" t="s">
        <v>33</v>
      </c>
      <c r="C89" s="3" t="s">
        <v>281</v>
      </c>
      <c r="D89" s="5">
        <v>2</v>
      </c>
      <c r="E89" s="4">
        <v>46196</v>
      </c>
      <c r="F89" s="2" t="s">
        <v>374</v>
      </c>
      <c r="G89" s="7">
        <f>_xlfn.XLOOKUP(HistoricoCompras[[#This Row],[ID do Produto]],ProdutosCadastro[ID Produto],ProdutosCadastro[Preço de Venda])*HistoricoCompras[[#This Row],[Qtde de Produtos Comprados]]</f>
        <v>9.98</v>
      </c>
    </row>
    <row r="90" spans="1:7" x14ac:dyDescent="0.3">
      <c r="A90" s="3" t="s">
        <v>478</v>
      </c>
      <c r="B90" s="3" t="s">
        <v>10</v>
      </c>
      <c r="C90" s="3" t="s">
        <v>344</v>
      </c>
      <c r="D90" s="5">
        <v>4</v>
      </c>
      <c r="E90" s="4">
        <v>46202</v>
      </c>
      <c r="F90" s="2" t="s">
        <v>376</v>
      </c>
      <c r="G90" s="7">
        <f>_xlfn.XLOOKUP(HistoricoCompras[[#This Row],[ID do Produto]],ProdutosCadastro[ID Produto],ProdutosCadastro[Preço de Venda])*HistoricoCompras[[#This Row],[Qtde de Produtos Comprados]]</f>
        <v>47.6</v>
      </c>
    </row>
    <row r="91" spans="1:7" x14ac:dyDescent="0.3">
      <c r="A91" s="3" t="s">
        <v>479</v>
      </c>
      <c r="B91" s="3" t="s">
        <v>156</v>
      </c>
      <c r="C91" s="3" t="s">
        <v>307</v>
      </c>
      <c r="D91" s="5">
        <v>5</v>
      </c>
      <c r="E91" s="4">
        <v>46209</v>
      </c>
      <c r="F91" s="2" t="s">
        <v>377</v>
      </c>
      <c r="G91" s="7">
        <f>_xlfn.XLOOKUP(HistoricoCompras[[#This Row],[ID do Produto]],ProdutosCadastro[ID Produto],ProdutosCadastro[Preço de Venda])*HistoricoCompras[[#This Row],[Qtde de Produtos Comprados]]</f>
        <v>59.5</v>
      </c>
    </row>
    <row r="92" spans="1:7" x14ac:dyDescent="0.3">
      <c r="A92" s="3" t="s">
        <v>480</v>
      </c>
      <c r="B92" s="3" t="s">
        <v>212</v>
      </c>
      <c r="C92" s="3" t="s">
        <v>338</v>
      </c>
      <c r="D92" s="5">
        <v>1</v>
      </c>
      <c r="E92" s="4">
        <v>46212</v>
      </c>
      <c r="F92" s="2" t="s">
        <v>378</v>
      </c>
      <c r="G92" s="7">
        <f>_xlfn.XLOOKUP(HistoricoCompras[[#This Row],[ID do Produto]],ProdutosCadastro[ID Produto],ProdutosCadastro[Preço de Venda])*HistoricoCompras[[#This Row],[Qtde de Produtos Comprados]]</f>
        <v>12.49</v>
      </c>
    </row>
    <row r="93" spans="1:7" x14ac:dyDescent="0.3">
      <c r="A93" s="3" t="s">
        <v>481</v>
      </c>
      <c r="B93" s="3" t="s">
        <v>139</v>
      </c>
      <c r="C93" s="3" t="s">
        <v>268</v>
      </c>
      <c r="D93" s="5">
        <v>2</v>
      </c>
      <c r="E93" s="4">
        <v>46217</v>
      </c>
      <c r="F93" s="2" t="s">
        <v>378</v>
      </c>
      <c r="G93" s="7">
        <f>_xlfn.XLOOKUP(HistoricoCompras[[#This Row],[ID do Produto]],ProdutosCadastro[ID Produto],ProdutosCadastro[Preço de Venda])*HistoricoCompras[[#This Row],[Qtde de Produtos Comprados]]</f>
        <v>5.58</v>
      </c>
    </row>
    <row r="94" spans="1:7" x14ac:dyDescent="0.3">
      <c r="A94" s="3" t="s">
        <v>482</v>
      </c>
      <c r="B94" s="3" t="s">
        <v>65</v>
      </c>
      <c r="C94" s="3" t="s">
        <v>349</v>
      </c>
      <c r="D94" s="5">
        <v>7</v>
      </c>
      <c r="E94" s="4">
        <v>46217</v>
      </c>
      <c r="F94" s="2" t="s">
        <v>378</v>
      </c>
      <c r="G94" s="7">
        <f>_xlfn.XLOOKUP(HistoricoCompras[[#This Row],[ID do Produto]],ProdutosCadastro[ID Produto],ProdutosCadastro[Preço de Venda])*HistoricoCompras[[#This Row],[Qtde de Produtos Comprados]]</f>
        <v>38.43</v>
      </c>
    </row>
    <row r="95" spans="1:7" x14ac:dyDescent="0.3">
      <c r="A95" s="3" t="s">
        <v>483</v>
      </c>
      <c r="B95" s="3" t="s">
        <v>110</v>
      </c>
      <c r="C95" s="3" t="s">
        <v>294</v>
      </c>
      <c r="D95" s="5">
        <v>7</v>
      </c>
      <c r="E95" s="4">
        <v>46219</v>
      </c>
      <c r="F95" s="2" t="s">
        <v>377</v>
      </c>
      <c r="G95" s="7">
        <f>_xlfn.XLOOKUP(HistoricoCompras[[#This Row],[ID do Produto]],ProdutosCadastro[ID Produto],ProdutosCadastro[Preço de Venda])*HistoricoCompras[[#This Row],[Qtde de Produtos Comprados]]</f>
        <v>65.03</v>
      </c>
    </row>
    <row r="96" spans="1:7" x14ac:dyDescent="0.3">
      <c r="A96" s="3" t="s">
        <v>484</v>
      </c>
      <c r="B96" s="3" t="s">
        <v>110</v>
      </c>
      <c r="C96" s="3" t="s">
        <v>327</v>
      </c>
      <c r="D96" s="5">
        <v>1</v>
      </c>
      <c r="E96" s="4">
        <v>46221</v>
      </c>
      <c r="F96" s="2" t="s">
        <v>377</v>
      </c>
      <c r="G96" s="7">
        <f>_xlfn.XLOOKUP(HistoricoCompras[[#This Row],[ID do Produto]],ProdutosCadastro[ID Produto],ProdutosCadastro[Preço de Venda])*HistoricoCompras[[#This Row],[Qtde de Produtos Comprados]]</f>
        <v>5.99</v>
      </c>
    </row>
    <row r="97" spans="1:7" x14ac:dyDescent="0.3">
      <c r="A97" s="3" t="s">
        <v>485</v>
      </c>
      <c r="B97" s="3" t="s">
        <v>103</v>
      </c>
      <c r="C97" s="3" t="s">
        <v>307</v>
      </c>
      <c r="D97" s="5">
        <v>3</v>
      </c>
      <c r="E97" s="4">
        <v>46222</v>
      </c>
      <c r="F97" s="2" t="s">
        <v>376</v>
      </c>
      <c r="G97" s="7">
        <f>_xlfn.XLOOKUP(HistoricoCompras[[#This Row],[ID do Produto]],ProdutosCadastro[ID Produto],ProdutosCadastro[Preço de Venda])*HistoricoCompras[[#This Row],[Qtde de Produtos Comprados]]</f>
        <v>35.700000000000003</v>
      </c>
    </row>
    <row r="98" spans="1:7" x14ac:dyDescent="0.3">
      <c r="A98" s="3" t="s">
        <v>486</v>
      </c>
      <c r="B98" s="3" t="s">
        <v>185</v>
      </c>
      <c r="C98" s="3" t="s">
        <v>261</v>
      </c>
      <c r="D98" s="5">
        <v>1</v>
      </c>
      <c r="E98" s="4">
        <v>46224</v>
      </c>
      <c r="F98" s="2" t="s">
        <v>374</v>
      </c>
      <c r="G98" s="7">
        <f>_xlfn.XLOOKUP(HistoricoCompras[[#This Row],[ID do Produto]],ProdutosCadastro[ID Produto],ProdutosCadastro[Preço de Venda])*HistoricoCompras[[#This Row],[Qtde de Produtos Comprados]]</f>
        <v>2.69</v>
      </c>
    </row>
    <row r="99" spans="1:7" x14ac:dyDescent="0.3">
      <c r="A99" s="3" t="s">
        <v>487</v>
      </c>
      <c r="B99" s="3" t="s">
        <v>88</v>
      </c>
      <c r="C99" s="3" t="s">
        <v>329</v>
      </c>
      <c r="D99" s="5">
        <v>6</v>
      </c>
      <c r="E99" s="4">
        <v>46227</v>
      </c>
      <c r="F99" s="2" t="s">
        <v>375</v>
      </c>
      <c r="G99" s="7">
        <f>_xlfn.XLOOKUP(HistoricoCompras[[#This Row],[ID do Produto]],ProdutosCadastro[ID Produto],ProdutosCadastro[Preço de Venda])*HistoricoCompras[[#This Row],[Qtde de Produtos Comprados]]</f>
        <v>44.94</v>
      </c>
    </row>
    <row r="100" spans="1:7" x14ac:dyDescent="0.3">
      <c r="A100" s="3" t="s">
        <v>488</v>
      </c>
      <c r="B100" s="3" t="s">
        <v>57</v>
      </c>
      <c r="C100" s="3" t="s">
        <v>271</v>
      </c>
      <c r="D100" s="5">
        <v>5</v>
      </c>
      <c r="E100" s="4">
        <v>46237</v>
      </c>
      <c r="F100" s="2" t="s">
        <v>376</v>
      </c>
      <c r="G100" s="7">
        <f>_xlfn.XLOOKUP(HistoricoCompras[[#This Row],[ID do Produto]],ProdutosCadastro[ID Produto],ProdutosCadastro[Preço de Venda])*HistoricoCompras[[#This Row],[Qtde de Produtos Comprados]]</f>
        <v>39.950000000000003</v>
      </c>
    </row>
    <row r="101" spans="1:7" x14ac:dyDescent="0.3">
      <c r="A101" s="3" t="s">
        <v>489</v>
      </c>
      <c r="B101" s="3" t="s">
        <v>199</v>
      </c>
      <c r="C101" s="3" t="s">
        <v>257</v>
      </c>
      <c r="D101" s="5">
        <v>8</v>
      </c>
      <c r="E101" s="4">
        <v>46246</v>
      </c>
      <c r="F101" s="2" t="s">
        <v>377</v>
      </c>
      <c r="G101" s="7">
        <f>_xlfn.XLOOKUP(HistoricoCompras[[#This Row],[ID do Produto]],ProdutosCadastro[ID Produto],ProdutosCadastro[Preço de Venda])*HistoricoCompras[[#This Row],[Qtde de Produtos Comprados]]</f>
        <v>75.92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cadastro-clientes</vt:lpstr>
      <vt:lpstr>cadastro-produtos</vt:lpstr>
      <vt:lpstr>historico-compras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SALERNO</dc:creator>
  <cp:lastModifiedBy>ANDRE SALERNO</cp:lastModifiedBy>
  <dcterms:created xsi:type="dcterms:W3CDTF">2026-08-22T00:28:02Z</dcterms:created>
  <dcterms:modified xsi:type="dcterms:W3CDTF">2026-08-22T01:00:13Z</dcterms:modified>
</cp:coreProperties>
</file>