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cd4ccd2a5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-clientes" sheetId="1" r:id="Readb91564f3f4dca"/>
    <x:sheet xmlns:r="http://schemas.openxmlformats.org/officeDocument/2006/relationships" name="cadastro-produtos" sheetId="2" r:id="R0619d44c33a2490e"/>
    <x:sheet xmlns:r="http://schemas.openxmlformats.org/officeDocument/2006/relationships" name="historico-compras" sheetId="3" r:id="R9adca89037aa44fe"/>
  </x:sheets>
</x:workbook>
</file>

<file path=xl/sharedStrings.xml><?xml version="1.0" encoding="utf-8"?>
<x:sst xmlns:x="http://schemas.openxmlformats.org/spreadsheetml/2006/main">
  <x:si>
    <x:t xml:space="preserve">Nome Cliente</x:t>
  </x:si>
  <x:si>
    <x:t xml:space="preserve">Data Nascimento</x:t>
  </x:si>
  <x:si>
    <x:t xml:space="preserve">CPF</x:t>
  </x:si>
  <x:si>
    <x:t xml:space="preserve">Endereço</x:t>
  </x:si>
  <x:si>
    <x:t xml:space="preserve">Número</x:t>
  </x:si>
  <x:si>
    <x:t xml:space="preserve">Complemento</x:t>
  </x:si>
  <x:si>
    <x:t xml:space="preserve">Bairro</x:t>
  </x:si>
  <x:si>
    <x:t xml:space="preserve">Cidade</x:t>
  </x:si>
  <x:si>
    <x:t xml:space="preserve">Estado</x:t>
  </x:si>
  <x:si>
    <x:t xml:space="preserve">CEP</x:t>
  </x:si>
  <x:si>
    <x:t xml:space="preserve">Ana Beatriz Monteiro</x:t>
  </x:si>
  <x:si>
    <x:t xml:space="preserve">184.726.390-41</x:t>
  </x:si>
  <x:si>
    <x:t xml:space="preserve">Rua das Acácias</x:t>
  </x:si>
  <x:si>
    <x:t xml:space="preserve">Apto 32</x:t>
  </x:si>
  <x:si>
    <x:t xml:space="preserve">Jardim Primavera</x:t>
  </x:si>
  <x:si>
    <x:t xml:space="preserve">São Paulo</x:t>
  </x:si>
  <x:si>
    <x:t xml:space="preserve">SP</x:t>
  </x:si>
  <x:si>
    <x:t xml:space="preserve">04123-150</x:t>
  </x:si>
  <x:si>
    <x:t xml:space="preserve">Bruno Henrique Costa</x:t>
  </x:si>
  <x:si>
    <x:t xml:space="preserve">507.318.264-09</x:t>
  </x:si>
  <x:si>
    <x:t xml:space="preserve">Avenida do Sol</x:t>
  </x:si>
  <x:si>
    <x:t xml:space="preserve">Bloco B</x:t>
  </x:si>
  <x:si>
    <x:t xml:space="preserve">Centro</x:t>
  </x:si>
  <x:si>
    <x:t xml:space="preserve">Campinas</x:t>
  </x:si>
  <x:si>
    <x:t xml:space="preserve">13010-110</x:t>
  </x:si>
  <x:si>
    <x:t xml:space="preserve">Camila Ferreira Lima</x:t>
  </x:si>
  <x:si>
    <x:t xml:space="preserve">692.145.837-20</x:t>
  </x:si>
  <x:si>
    <x:t xml:space="preserve">Rua dos Ipês</x:t>
  </x:si>
  <x:si>
    <x:t xml:space="preserve">Casa 2</x:t>
  </x:si>
  <x:si>
    <x:t xml:space="preserve">Boa Vista</x:t>
  </x:si>
  <x:si>
    <x:t xml:space="preserve">Curitiba</x:t>
  </x:si>
  <x:si>
    <x:t xml:space="preserve">PR</x:t>
  </x:si>
  <x:si>
    <x:t xml:space="preserve">80540-210</x:t>
  </x:si>
  <x:si>
    <x:t xml:space="preserve">Daniel Alves Ribeiro</x:t>
  </x:si>
  <x:si>
    <x:t xml:space="preserve">431.980.275-64</x:t>
  </x:si>
  <x:si>
    <x:t xml:space="preserve">Travessa Aurora</x:t>
  </x:si>
  <x:si>
    <x:t xml:space="preserve">Fundos</x:t>
  </x:si>
  <x:si>
    <x:t xml:space="preserve">Floresta</x:t>
  </x:si>
  <x:si>
    <x:t xml:space="preserve">Porto Alegre</x:t>
  </x:si>
  <x:si>
    <x:t xml:space="preserve">RS</x:t>
  </x:si>
  <x:si>
    <x:t xml:space="preserve">90450-080</x:t>
  </x:si>
  <x:si>
    <x:t xml:space="preserve">Eduarda Martins Souza</x:t>
  </x:si>
  <x:si>
    <x:t xml:space="preserve">758.204.619-35</x:t>
  </x:si>
  <x:si>
    <x:t xml:space="preserve">Alameda das Flores</x:t>
  </x:si>
  <x:si>
    <x:t xml:space="preserve">Apto 71</x:t>
  </x:si>
  <x:si>
    <x:t xml:space="preserve">Savassi</x:t>
  </x:si>
  <x:si>
    <x:t xml:space="preserve">Belo Horizonte</x:t>
  </x:si>
  <x:si>
    <x:t xml:space="preserve">MG</x:t>
  </x:si>
  <x:si>
    <x:t xml:space="preserve">30140-071</x:t>
  </x:si>
  <x:si>
    <x:t xml:space="preserve">Felipe Augusto Rocha</x:t>
  </x:si>
  <x:si>
    <x:t xml:space="preserve">926.471.583-02</x:t>
  </x:si>
  <x:si>
    <x:t xml:space="preserve">Rua Horizonte Azul</x:t>
  </x:si>
  <x:si>
    <x:t xml:space="preserve">Casa</x:t>
  </x:si>
  <x:si>
    <x:t xml:space="preserve">Aldeota</x:t>
  </x:si>
  <x:si>
    <x:t xml:space="preserve">Fortaleza</x:t>
  </x:si>
  <x:si>
    <x:t xml:space="preserve">CE</x:t>
  </x:si>
  <x:si>
    <x:t xml:space="preserve">60150-160</x:t>
  </x:si>
  <x:si>
    <x:t xml:space="preserve">Gabriela Mendes Silva</x:t>
  </x:si>
  <x:si>
    <x:t xml:space="preserve">315.867.492-16</x:t>
  </x:si>
  <x:si>
    <x:t xml:space="preserve">Avenida das Palmeiras</x:t>
  </x:si>
  <x:si>
    <x:t xml:space="preserve">Sala 14</x:t>
  </x:si>
  <x:si>
    <x:t xml:space="preserve">Pituba</x:t>
  </x:si>
  <x:si>
    <x:t xml:space="preserve">Salvador</x:t>
  </x:si>
  <x:si>
    <x:t xml:space="preserve">BA</x:t>
  </x:si>
  <x:si>
    <x:t xml:space="preserve">41810-012</x:t>
  </x:si>
  <x:si>
    <x:t xml:space="preserve">Henrique Nunes Prado</x:t>
  </x:si>
  <x:si>
    <x:t xml:space="preserve">840.253.761-98</x:t>
  </x:si>
  <x:si>
    <x:t xml:space="preserve">Rua do Comércio</x:t>
  </x:si>
  <x:si>
    <x:t xml:space="preserve">Apto 18</x:t>
  </x:si>
  <x:si>
    <x:t xml:space="preserve">Goiânia</x:t>
  </x:si>
  <x:si>
    <x:t xml:space="preserve">GO</x:t>
  </x:si>
  <x:si>
    <x:t xml:space="preserve">74003-010</x:t>
  </x:si>
  <x:si>
    <x:t xml:space="preserve">Isabela Cristina Moraes</x:t>
  </x:si>
  <x:si>
    <x:t xml:space="preserve">273.694.108-57</x:t>
  </x:si>
  <x:si>
    <x:t xml:space="preserve">Rua Lago Sereno</x:t>
  </x:si>
  <x:si>
    <x:t xml:space="preserve">Bloco C</x:t>
  </x:si>
  <x:si>
    <x:t xml:space="preserve">Ponta Verde</x:t>
  </x:si>
  <x:si>
    <x:t xml:space="preserve">Maceió</x:t>
  </x:si>
  <x:si>
    <x:t xml:space="preserve">AL</x:t>
  </x:si>
  <x:si>
    <x:t xml:space="preserve">57035-180</x:t>
  </x:si>
  <x:si>
    <x:t xml:space="preserve">João Pedro Almeida</x:t>
  </x:si>
  <x:si>
    <x:t xml:space="preserve">619.425.873-01</x:t>
  </x:si>
  <x:si>
    <x:t xml:space="preserve">Avenida Central</x:t>
  </x:si>
  <x:si>
    <x:t xml:space="preserve">Casa 4</x:t>
  </x:si>
  <x:si>
    <x:t xml:space="preserve">Asa Norte</x:t>
  </x:si>
  <x:si>
    <x:t xml:space="preserve">Brasília</x:t>
  </x:si>
  <x:si>
    <x:t xml:space="preserve">DF</x:t>
  </x:si>
  <x:si>
    <x:t xml:space="preserve">70740-020</x:t>
  </x:si>
  <x:si>
    <x:t xml:space="preserve">Karina Lopes Cardoso</x:t>
  </x:si>
  <x:si>
    <x:t xml:space="preserve">105.738.946-22</x:t>
  </x:si>
  <x:si>
    <x:t xml:space="preserve">Rua Pedra Branca</x:t>
  </x:si>
  <x:si>
    <x:t xml:space="preserve">Apto 51</x:t>
  </x:si>
  <x:si>
    <x:t xml:space="preserve">Trindade</x:t>
  </x:si>
  <x:si>
    <x:t xml:space="preserve">Florianópolis</x:t>
  </x:si>
  <x:si>
    <x:t xml:space="preserve">SC</x:t>
  </x:si>
  <x:si>
    <x:t xml:space="preserve">88036-002</x:t>
  </x:si>
  <x:si>
    <x:t xml:space="preserve">Lucas Gabriel Barros</x:t>
  </x:si>
  <x:si>
    <x:t xml:space="preserve">564.209.317-80</x:t>
  </x:si>
  <x:si>
    <x:t xml:space="preserve">Rua das Andorinhas</x:t>
  </x:si>
  <x:si>
    <x:t xml:space="preserve">Tamarineira</x:t>
  </x:si>
  <x:si>
    <x:t xml:space="preserve">Recife</x:t>
  </x:si>
  <x:si>
    <x:t xml:space="preserve">PE</x:t>
  </x:si>
  <x:si>
    <x:t xml:space="preserve">52060-140</x:t>
  </x:si>
  <x:si>
    <x:t xml:space="preserve">Mariana Oliveira Reis</x:t>
  </x:si>
  <x:si>
    <x:t xml:space="preserve">387.641.925-43</x:t>
  </x:si>
  <x:si>
    <x:t xml:space="preserve">Alameda Rio Claro</x:t>
  </x:si>
  <x:si>
    <x:t xml:space="preserve">Adrianópolis</x:t>
  </x:si>
  <x:si>
    <x:t xml:space="preserve">Manaus</x:t>
  </x:si>
  <x:si>
    <x:t xml:space="preserve">AM</x:t>
  </x:si>
  <x:si>
    <x:t xml:space="preserve">69057-060</x:t>
  </x:si>
  <x:si>
    <x:t xml:space="preserve">Nicolas Vieira Santos</x:t>
  </x:si>
  <x:si>
    <x:t xml:space="preserve">972.306.481-15</x:t>
  </x:si>
  <x:si>
    <x:t xml:space="preserve">Rua Porto Seguro</x:t>
  </x:si>
  <x:si>
    <x:t xml:space="preserve">Apto 23</x:t>
  </x:si>
  <x:si>
    <x:t xml:space="preserve">Umarizal</x:t>
  </x:si>
  <x:si>
    <x:t xml:space="preserve">Belém</x:t>
  </x:si>
  <x:si>
    <x:t xml:space="preserve">PA</x:t>
  </x:si>
  <x:si>
    <x:t xml:space="preserve">66055-240</x:t>
  </x:si>
  <x:si>
    <x:t xml:space="preserve">Olívia Ramos Teixeira</x:t>
  </x:si>
  <x:si>
    <x:t xml:space="preserve">248.913.750-66</x:t>
  </x:si>
  <x:si>
    <x:t xml:space="preserve">Avenida Boa Esperança</x:t>
  </x:si>
  <x:si>
    <x:t xml:space="preserve">Bloco A</x:t>
  </x:si>
  <x:si>
    <x:t xml:space="preserve">Jardim Camburi</x:t>
  </x:si>
  <x:si>
    <x:t xml:space="preserve">Vitória</x:t>
  </x:si>
  <x:si>
    <x:t xml:space="preserve">ES</x:t>
  </x:si>
  <x:si>
    <x:t xml:space="preserve">29090-220</x:t>
  </x:si>
  <x:si>
    <x:t xml:space="preserve">Paulo César Freitas</x:t>
  </x:si>
  <x:si>
    <x:t xml:space="preserve">731.582.469-04</x:t>
  </x:si>
  <x:si>
    <x:t xml:space="preserve">Rua Serra Dourada</x:t>
  </x:si>
  <x:si>
    <x:t xml:space="preserve">Casa 3</x:t>
  </x:si>
  <x:si>
    <x:t xml:space="preserve">Cuiabá</x:t>
  </x:si>
  <x:si>
    <x:t xml:space="preserve">MT</x:t>
  </x:si>
  <x:si>
    <x:t xml:space="preserve">78005-250</x:t>
  </x:si>
  <x:si>
    <x:t xml:space="preserve">Queila Andrade Pires</x:t>
  </x:si>
  <x:si>
    <x:t xml:space="preserve">456.170.328-91</x:t>
  </x:si>
  <x:si>
    <x:t xml:space="preserve">Travessa das Oliveiras</x:t>
  </x:si>
  <x:si>
    <x:t xml:space="preserve">Apto 62</x:t>
  </x:si>
  <x:si>
    <x:t xml:space="preserve">Farol</x:t>
  </x:si>
  <x:si>
    <x:t xml:space="preserve">57051-000</x:t>
  </x:si>
  <x:si>
    <x:t xml:space="preserve">Rafael Moreira Campos</x:t>
  </x:si>
  <x:si>
    <x:t xml:space="preserve">893.247.615-30</x:t>
  </x:si>
  <x:si>
    <x:t xml:space="preserve">Rua Vale Verde</x:t>
  </x:si>
  <x:si>
    <x:t xml:space="preserve">Sala 8</x:t>
  </x:si>
  <x:si>
    <x:t xml:space="preserve">Batista Campos</x:t>
  </x:si>
  <x:si>
    <x:t xml:space="preserve">66023-710</x:t>
  </x:si>
  <x:si>
    <x:t xml:space="preserve">Sabrina Tavares Melo</x:t>
  </x:si>
  <x:si>
    <x:t xml:space="preserve">320.864.197-52</x:t>
  </x:si>
  <x:si>
    <x:t xml:space="preserve">Avenida das Nações</x:t>
  </x:si>
  <x:si>
    <x:t xml:space="preserve">Apto 101</x:t>
  </x:si>
  <x:si>
    <x:t xml:space="preserve">Meireles</x:t>
  </x:si>
  <x:si>
    <x:t xml:space="preserve">60165-121</x:t>
  </x:si>
  <x:si>
    <x:t xml:space="preserve">Thiago Rodrigues Cunha</x:t>
  </x:si>
  <x:si>
    <x:t xml:space="preserve">675.139.284-08</x:t>
  </x:si>
  <x:si>
    <x:t xml:space="preserve">Rua Monte Azul</x:t>
  </x:si>
  <x:si>
    <x:t xml:space="preserve">Santa Efigênia</x:t>
  </x:si>
  <x:si>
    <x:t xml:space="preserve">30150-270</x:t>
  </x:si>
  <x:si>
    <x:t xml:space="preserve">Úrsula Fernandes Dias</x:t>
  </x:si>
  <x:si>
    <x:t xml:space="preserve">149.503.826-74</x:t>
  </x:si>
  <x:si>
    <x:t xml:space="preserve">Rua Jardim Secreto</x:t>
  </x:si>
  <x:si>
    <x:t xml:space="preserve">Bloco D</x:t>
  </x:si>
  <x:si>
    <x:t xml:space="preserve">Água Verde</x:t>
  </x:si>
  <x:si>
    <x:t xml:space="preserve">80620-060</x:t>
  </x:si>
  <x:si>
    <x:t xml:space="preserve">Vinícius Araújo Pinto</x:t>
  </x:si>
  <x:si>
    <x:t xml:space="preserve">804.716.392-19</x:t>
  </x:si>
  <x:si>
    <x:t xml:space="preserve">Alameda dos Pássaros</x:t>
  </x:si>
  <x:si>
    <x:t xml:space="preserve">Apto 45</x:t>
  </x:si>
  <x:si>
    <x:t xml:space="preserve">Moema</x:t>
  </x:si>
  <x:si>
    <x:t xml:space="preserve">04524-010</x:t>
  </x:si>
  <x:si>
    <x:t xml:space="preserve">Wesley Gonçalves Luz</x:t>
  </x:si>
  <x:si>
    <x:t xml:space="preserve">537.928.140-63</x:t>
  </x:si>
  <x:si>
    <x:t xml:space="preserve">Rua Caminho do Mar</x:t>
  </x:si>
  <x:si>
    <x:t xml:space="preserve">Casa 5</x:t>
  </x:si>
  <x:si>
    <x:t xml:space="preserve">Piatã</x:t>
  </x:si>
  <x:si>
    <x:t xml:space="preserve">41650-060</x:t>
  </x:si>
  <x:si>
    <x:t xml:space="preserve">Yasmin Castro Neves</x:t>
  </x:si>
  <x:si>
    <x:t xml:space="preserve">261.475.839-27</x:t>
  </x:si>
  <x:si>
    <x:t xml:space="preserve">Avenida Primavera</x:t>
  </x:si>
  <x:si>
    <x:t xml:space="preserve">Apto 12</x:t>
  </x:si>
  <x:si>
    <x:t xml:space="preserve">Setor Oeste</x:t>
  </x:si>
  <x:si>
    <x:t xml:space="preserve">74120-030</x:t>
  </x:si>
  <x:si>
    <x:t xml:space="preserve">André Luiz Farias</x:t>
  </x:si>
  <x:si>
    <x:t xml:space="preserve">918.350.624-45</x:t>
  </x:si>
  <x:si>
    <x:t xml:space="preserve">Rua Campo Belo</x:t>
  </x:si>
  <x:si>
    <x:t xml:space="preserve">Boa Viagem</x:t>
  </x:si>
  <x:si>
    <x:t xml:space="preserve">51021-250</x:t>
  </x:si>
  <x:si>
    <x:t xml:space="preserve">Bianca Duarte Peixoto</x:t>
  </x:si>
  <x:si>
    <x:t xml:space="preserve">402.689.175-96</x:t>
  </x:si>
  <x:si>
    <x:t xml:space="preserve">Rua Estrela do Norte</x:t>
  </x:si>
  <x:si>
    <x:t xml:space="preserve">Campo Grande</x:t>
  </x:si>
  <x:si>
    <x:t xml:space="preserve">MS</x:t>
  </x:si>
  <x:si>
    <x:t xml:space="preserve">79002-072</x:t>
  </x:si>
  <x:si>
    <x:t xml:space="preserve">Caio Vinícius Braga</x:t>
  </x:si>
  <x:si>
    <x:t xml:space="preserve">786.214.503-11</x:t>
  </x:si>
  <x:si>
    <x:t xml:space="preserve">Avenida Beira Rio</x:t>
  </x:si>
  <x:si>
    <x:t xml:space="preserve">Apto 84</x:t>
  </x:si>
  <x:si>
    <x:t xml:space="preserve">Jardins</x:t>
  </x:si>
  <x:si>
    <x:t xml:space="preserve">Aracaju</x:t>
  </x:si>
  <x:si>
    <x:t xml:space="preserve">SE</x:t>
  </x:si>
  <x:si>
    <x:t xml:space="preserve">49025-040</x:t>
  </x:si>
  <x:si>
    <x:t xml:space="preserve">Débora Machado Torres</x:t>
  </x:si>
  <x:si>
    <x:t xml:space="preserve">359.871.246-38</x:t>
  </x:si>
  <x:si>
    <x:t xml:space="preserve">Rua Lua Nova</x:t>
  </x:si>
  <x:si>
    <x:t xml:space="preserve">Tirol</x:t>
  </x:si>
  <x:si>
    <x:t xml:space="preserve">Natal</x:t>
  </x:si>
  <x:si>
    <x:t xml:space="preserve">RN</x:t>
  </x:si>
  <x:si>
    <x:t xml:space="preserve">59020-300</x:t>
  </x:si>
  <x:si>
    <x:t xml:space="preserve">Erick Santana Coelho</x:t>
  </x:si>
  <x:si>
    <x:t xml:space="preserve">624.093.718-50</x:t>
  </x:si>
  <x:si>
    <x:t xml:space="preserve">Travessa do Bosque</x:t>
  </x:si>
  <x:si>
    <x:t xml:space="preserve">João Pessoa</x:t>
  </x:si>
  <x:si>
    <x:t xml:space="preserve">PB</x:t>
  </x:si>
  <x:si>
    <x:t xml:space="preserve">58010-450</x:t>
  </x:si>
  <x:si>
    <x:t xml:space="preserve">Fernanda Xavier Brito</x:t>
  </x:si>
  <x:si>
    <x:t xml:space="preserve">170.562.984-23</x:t>
  </x:si>
  <x:si>
    <x:t xml:space="preserve">Rua Ventos do Sul</x:t>
  </x:si>
  <x:si>
    <x:t xml:space="preserve">Apto 33</x:t>
  </x:si>
  <x:si>
    <x:t xml:space="preserve">Moinhos de Vento</x:t>
  </x:si>
  <x:si>
    <x:t xml:space="preserve">90570-080</x:t>
  </x:si>
  <x:si>
    <x:t xml:space="preserve">ID Produto</x:t>
  </x:si>
  <x:si>
    <x:t xml:space="preserve">Descrição</x:t>
  </x:si>
  <x:si>
    <x:t xml:space="preserve">Categoria</x:t>
  </x:si>
  <x:si>
    <x:t xml:space="preserve">Preço de Custo</x:t>
  </x:si>
  <x:si>
    <x:t xml:space="preserve">Preço de Venda</x:t>
  </x:si>
  <x:si>
    <x:t xml:space="preserve">PROD-0001</x:t>
  </x:si>
  <x:si>
    <x:t xml:space="preserve">Arroz Branco Tipo 1 - 5 kg</x:t>
  </x:si>
  <x:si>
    <x:t xml:space="preserve">Mercearia</x:t>
  </x:si>
  <x:si>
    <x:t xml:space="preserve">PROD-0002</x:t>
  </x:si>
  <x:si>
    <x:t xml:space="preserve">Feijão Carioca - 1 kg</x:t>
  </x:si>
  <x:si>
    <x:t xml:space="preserve">PROD-0003</x:t>
  </x:si>
  <x:si>
    <x:t xml:space="preserve">Açúcar Refinado - 1 kg</x:t>
  </x:si>
  <x:si>
    <x:t xml:space="preserve">PROD-0004</x:t>
  </x:si>
  <x:si>
    <x:t xml:space="preserve">Sal Refinado - 1 kg</x:t>
  </x:si>
  <x:si>
    <x:t xml:space="preserve">PROD-0005</x:t>
  </x:si>
  <x:si>
    <x:t xml:space="preserve">Farinha de Trigo - 1 kg</x:t>
  </x:si>
  <x:si>
    <x:t xml:space="preserve">PROD-0006</x:t>
  </x:si>
  <x:si>
    <x:t xml:space="preserve">Macarrão Espaguete - 500 g</x:t>
  </x:si>
  <x:si>
    <x:t xml:space="preserve">Massas</x:t>
  </x:si>
  <x:si>
    <x:t xml:space="preserve">PROD-0007</x:t>
  </x:si>
  <x:si>
    <x:t xml:space="preserve">Molho de Tomate Tradicional - 300 g</x:t>
  </x:si>
  <x:si>
    <x:t xml:space="preserve">Molhos</x:t>
  </x:si>
  <x:si>
    <x:t xml:space="preserve">PROD-0008</x:t>
  </x:si>
  <x:si>
    <x:t xml:space="preserve">Óleo de Soja - 900 ml</x:t>
  </x:si>
  <x:si>
    <x:t xml:space="preserve">PROD-0009</x:t>
  </x:si>
  <x:si>
    <x:t xml:space="preserve">Azeite de Oliva Extra Virgem - 500 ml</x:t>
  </x:si>
  <x:si>
    <x:t xml:space="preserve">PROD-0010</x:t>
  </x:si>
  <x:si>
    <x:t xml:space="preserve">Café Torrado e Moído - 500 g</x:t>
  </x:si>
  <x:si>
    <x:t xml:space="preserve">Bebidas</x:t>
  </x:si>
  <x:si>
    <x:t xml:space="preserve">PROD-0011</x:t>
  </x:si>
  <x:si>
    <x:t xml:space="preserve">Leite Integral UHT - 1 L</x:t>
  </x:si>
  <x:si>
    <x:t xml:space="preserve">Laticínios</x:t>
  </x:si>
  <x:si>
    <x:t xml:space="preserve">PROD-0012</x:t>
  </x:si>
  <x:si>
    <x:t xml:space="preserve">Leite Desnatado UHT - 1 L</x:t>
  </x:si>
  <x:si>
    <x:t xml:space="preserve">PROD-0013</x:t>
  </x:si>
  <x:si>
    <x:t xml:space="preserve">Manteiga com Sal - 200 g</x:t>
  </x:si>
  <x:si>
    <x:t xml:space="preserve">PROD-0014</x:t>
  </x:si>
  <x:si>
    <x:t xml:space="preserve">Margarina Cremosa - 500 g</x:t>
  </x:si>
  <x:si>
    <x:t xml:space="preserve">PROD-0015</x:t>
  </x:si>
  <x:si>
    <x:t xml:space="preserve">Queijo Mussarela Fatiado - 200 g</x:t>
  </x:si>
  <x:si>
    <x:t xml:space="preserve">Frios</x:t>
  </x:si>
  <x:si>
    <x:t xml:space="preserve">PROD-0016</x:t>
  </x:si>
  <x:si>
    <x:t xml:space="preserve">Presunto Cozido Fatiado - 200 g</x:t>
  </x:si>
  <x:si>
    <x:t xml:space="preserve">PROD-0017</x:t>
  </x:si>
  <x:si>
    <x:t xml:space="preserve">Iogurte Natural - 170 g</x:t>
  </x:si>
  <x:si>
    <x:t xml:space="preserve">PROD-0018</x:t>
  </x:si>
  <x:si>
    <x:t xml:space="preserve">Requeijão Cremoso - 200 g</x:t>
  </x:si>
  <x:si>
    <x:t xml:space="preserve">PROD-0019</x:t>
  </x:si>
  <x:si>
    <x:t xml:space="preserve">Ovos Brancos - Dúzia</x:t>
  </x:si>
  <x:si>
    <x:t xml:space="preserve">Hortifrúti</x:t>
  </x:si>
  <x:si>
    <x:t xml:space="preserve">PROD-0020</x:t>
  </x:si>
  <x:si>
    <x:t xml:space="preserve">Pão de Forma Tradicional - 500 g</x:t>
  </x:si>
  <x:si>
    <x:t xml:space="preserve">Padaria</x:t>
  </x:si>
  <x:si>
    <x:t xml:space="preserve">PROD-0021</x:t>
  </x:si>
  <x:si>
    <x:t xml:space="preserve">Biscoito Cream Cracker - 350 g</x:t>
  </x:si>
  <x:si>
    <x:t xml:space="preserve">Biscoitos</x:t>
  </x:si>
  <x:si>
    <x:t xml:space="preserve">PROD-0022</x:t>
  </x:si>
  <x:si>
    <x:t xml:space="preserve">Biscoito Recheado Chocolate - 130 g</x:t>
  </x:si>
  <x:si>
    <x:t xml:space="preserve">PROD-0023</x:t>
  </x:si>
  <x:si>
    <x:t xml:space="preserve">Cereal Matinal de Milho - 300 g</x:t>
  </x:si>
  <x:si>
    <x:t xml:space="preserve">Cereais</x:t>
  </x:si>
  <x:si>
    <x:t xml:space="preserve">PROD-0024</x:t>
  </x:si>
  <x:si>
    <x:t xml:space="preserve">Achocolatado em Pó - 400 g</x:t>
  </x:si>
  <x:si>
    <x:t xml:space="preserve">PROD-0025</x:t>
  </x:si>
  <x:si>
    <x:t xml:space="preserve">Suco de Laranja Integral - 1 L</x:t>
  </x:si>
  <x:si>
    <x:t xml:space="preserve">PROD-0026</x:t>
  </x:si>
  <x:si>
    <x:t xml:space="preserve">Refrigerante Cola - 2 L</x:t>
  </x:si>
  <x:si>
    <x:t xml:space="preserve">PROD-0027</x:t>
  </x:si>
  <x:si>
    <x:t xml:space="preserve">Água Mineral sem Gás - 1,5 L</x:t>
  </x:si>
  <x:si>
    <x:t xml:space="preserve">PROD-0028</x:t>
  </x:si>
  <x:si>
    <x:t xml:space="preserve">Cerveja Pilsen Lata - 350 ml</x:t>
  </x:si>
  <x:si>
    <x:t xml:space="preserve">PROD-0029</x:t>
  </x:si>
  <x:si>
    <x:t xml:space="preserve">Detergente Líquido Neutro - 500 ml</x:t>
  </x:si>
  <x:si>
    <x:t xml:space="preserve">Limpeza</x:t>
  </x:si>
  <x:si>
    <x:t xml:space="preserve">PROD-0030</x:t>
  </x:si>
  <x:si>
    <x:t xml:space="preserve">Sabão em Pó - 1,6 kg</x:t>
  </x:si>
  <x:si>
    <x:t xml:space="preserve">PROD-0031</x:t>
  </x:si>
  <x:si>
    <x:t xml:space="preserve">Amaciante de Roupas - 2 L</x:t>
  </x:si>
  <x:si>
    <x:t xml:space="preserve">PROD-0032</x:t>
  </x:si>
  <x:si>
    <x:t xml:space="preserve">Água Sanitária - 2 L</x:t>
  </x:si>
  <x:si>
    <x:t xml:space="preserve">PROD-0033</x:t>
  </x:si>
  <x:si>
    <x:t xml:space="preserve">Desinfetante Lavanda - 2 L</x:t>
  </x:si>
  <x:si>
    <x:t xml:space="preserve">PROD-0034</x:t>
  </x:si>
  <x:si>
    <x:t xml:space="preserve">Esponja Multiuso - 3 unidades</x:t>
  </x:si>
  <x:si>
    <x:t xml:space="preserve">PROD-0035</x:t>
  </x:si>
  <x:si>
    <x:t xml:space="preserve">Papel Higiênico Folha Dupla - 12 rolos</x:t>
  </x:si>
  <x:si>
    <x:t xml:space="preserve">Higiene</x:t>
  </x:si>
  <x:si>
    <x:t xml:space="preserve">PROD-0036</x:t>
  </x:si>
  <x:si>
    <x:t xml:space="preserve">Sabonete em Barra - 85 g</x:t>
  </x:si>
  <x:si>
    <x:t xml:space="preserve">PROD-0037</x:t>
  </x:si>
  <x:si>
    <x:t xml:space="preserve">Shampoo Uso Diário - 350 ml</x:t>
  </x:si>
  <x:si>
    <x:t xml:space="preserve">PROD-0038</x:t>
  </x:si>
  <x:si>
    <x:t xml:space="preserve">Condicionador Uso Diário - 350 ml</x:t>
  </x:si>
  <x:si>
    <x:t xml:space="preserve">PROD-0039</x:t>
  </x:si>
  <x:si>
    <x:t xml:space="preserve">Creme Dental - 90 g</x:t>
  </x:si>
  <x:si>
    <x:t xml:space="preserve">PROD-0040</x:t>
  </x:si>
  <x:si>
    <x:t xml:space="preserve">Desodorante Aerossol - 150 ml</x:t>
  </x:si>
  <x:si>
    <x:t xml:space="preserve">PROD-0041</x:t>
  </x:si>
  <x:si>
    <x:t xml:space="preserve">Fralda Descartável Tamanho M - 24 unidades</x:t>
  </x:si>
  <x:si>
    <x:t xml:space="preserve">Higiene Infantil</x:t>
  </x:si>
  <x:si>
    <x:t xml:space="preserve">PROD-0042</x:t>
  </x:si>
  <x:si>
    <x:t xml:space="preserve">Absorvente com Abas - 8 unidades</x:t>
  </x:si>
  <x:si>
    <x:t xml:space="preserve">PROD-0043</x:t>
  </x:si>
  <x:si>
    <x:t xml:space="preserve">Banana Prata - kg</x:t>
  </x:si>
  <x:si>
    <x:t xml:space="preserve">PROD-0044</x:t>
  </x:si>
  <x:si>
    <x:t xml:space="preserve">Maçã Gala - kg</x:t>
  </x:si>
  <x:si>
    <x:t xml:space="preserve">PROD-0045</x:t>
  </x:si>
  <x:si>
    <x:t xml:space="preserve">Tomate Italiano - kg</x:t>
  </x:si>
  <x:si>
    <x:t xml:space="preserve">PROD-0046</x:t>
  </x:si>
  <x:si>
    <x:t xml:space="preserve">Batata Inglesa - kg</x:t>
  </x:si>
  <x:si>
    <x:t xml:space="preserve">PROD-0047</x:t>
  </x:si>
  <x:si>
    <x:t xml:space="preserve">Cebola - kg</x:t>
  </x:si>
  <x:si>
    <x:t xml:space="preserve">PROD-0048</x:t>
  </x:si>
  <x:si>
    <x:t xml:space="preserve">Peito de Frango Congelado - kg</x:t>
  </x:si>
  <x:si>
    <x:t xml:space="preserve">Carnes</x:t>
  </x:si>
  <x:si>
    <x:t xml:space="preserve">PROD-0049</x:t>
  </x:si>
  <x:si>
    <x:t xml:space="preserve">Carne Moída Bovina - kg</x:t>
  </x:si>
  <x:si>
    <x:t xml:space="preserve">PROD-0050</x:t>
  </x:si>
  <x:si>
    <x:t xml:space="preserve">Pizza Congelada Mussarela - 460 g</x:t>
  </x:si>
  <x:si>
    <x:t xml:space="preserve">Congelados</x:t>
  </x:si>
  <x:si>
    <x:t xml:space="preserve">ID da Compra</x:t>
  </x:si>
  <x:si>
    <x:t xml:space="preserve">ID do Produto</x:t>
  </x:si>
  <x:si>
    <x:t xml:space="preserve">Qtde de Produtos Comprados</x:t>
  </x:si>
  <x:si>
    <x:t xml:space="preserve">Data da Compra</x:t>
  </x:si>
  <x:si>
    <x:t xml:space="preserve">Forma de Pagamento</x:t>
  </x:si>
  <x:si>
    <x:t xml:space="preserve">Valor Total Pago</x:t>
  </x:si>
  <x:si>
    <x:t xml:space="preserve">COMP-00001</x:t>
  </x:si>
  <x:si>
    <x:t xml:space="preserve">Cartão de Crédito</x:t>
  </x:si>
  <x:si>
    <x:t xml:space="preserve">COMP-00002</x:t>
  </x:si>
  <x:si>
    <x:t xml:space="preserve">PIX</x:t>
  </x:si>
  <x:si>
    <x:t xml:space="preserve">COMP-00003</x:t>
  </x:si>
  <x:si>
    <x:t xml:space="preserve">Cartão de Débito</x:t>
  </x:si>
  <x:si>
    <x:t xml:space="preserve">COMP-00004</x:t>
  </x:si>
  <x:si>
    <x:t xml:space="preserve">Dinheiro</x:t>
  </x:si>
  <x:si>
    <x:t xml:space="preserve">COMP-00005</x:t>
  </x:si>
  <x:si>
    <x:t xml:space="preserve">Vale-alimentação</x:t>
  </x:si>
  <x:si>
    <x:t xml:space="preserve">COMP-00006</x:t>
  </x:si>
  <x:si>
    <x:t xml:space="preserve">COMP-00007</x:t>
  </x:si>
  <x:si>
    <x:t xml:space="preserve">COMP-00008</x:t>
  </x:si>
  <x:si>
    <x:t xml:space="preserve">COMP-00009</x:t>
  </x:si>
  <x:si>
    <x:t xml:space="preserve">COMP-00010</x:t>
  </x:si>
  <x:si>
    <x:t xml:space="preserve">COMP-00011</x:t>
  </x:si>
  <x:si>
    <x:t xml:space="preserve">COMP-00012</x:t>
  </x:si>
  <x:si>
    <x:t xml:space="preserve">COMP-00013</x:t>
  </x:si>
  <x:si>
    <x:t xml:space="preserve">COMP-00014</x:t>
  </x:si>
  <x:si>
    <x:t xml:space="preserve">COMP-00015</x:t>
  </x:si>
  <x:si>
    <x:t xml:space="preserve">COMP-00016</x:t>
  </x:si>
  <x:si>
    <x:t xml:space="preserve">COMP-00017</x:t>
  </x:si>
  <x:si>
    <x:t xml:space="preserve">COMP-00018</x:t>
  </x:si>
  <x:si>
    <x:t xml:space="preserve">COMP-00019</x:t>
  </x:si>
  <x:si>
    <x:t xml:space="preserve">COMP-00020</x:t>
  </x:si>
  <x:si>
    <x:t xml:space="preserve">COMP-00021</x:t>
  </x:si>
  <x:si>
    <x:t xml:space="preserve">COMP-00022</x:t>
  </x:si>
  <x:si>
    <x:t xml:space="preserve">COMP-00023</x:t>
  </x:si>
  <x:si>
    <x:t xml:space="preserve">COMP-00024</x:t>
  </x:si>
  <x:si>
    <x:t xml:space="preserve">COMP-00025</x:t>
  </x:si>
  <x:si>
    <x:t xml:space="preserve">COMP-00026</x:t>
  </x:si>
  <x:si>
    <x:t xml:space="preserve">COMP-00027</x:t>
  </x:si>
  <x:si>
    <x:t xml:space="preserve">COMP-00028</x:t>
  </x:si>
  <x:si>
    <x:t xml:space="preserve">COMP-00029</x:t>
  </x:si>
  <x:si>
    <x:t xml:space="preserve">COMP-00030</x:t>
  </x:si>
  <x:si>
    <x:t xml:space="preserve">COMP-00031</x:t>
  </x:si>
  <x:si>
    <x:t xml:space="preserve">COMP-00032</x:t>
  </x:si>
  <x:si>
    <x:t xml:space="preserve">COMP-00033</x:t>
  </x:si>
  <x:si>
    <x:t xml:space="preserve">COMP-00034</x:t>
  </x:si>
  <x:si>
    <x:t xml:space="preserve">COMP-00035</x:t>
  </x:si>
  <x:si>
    <x:t xml:space="preserve">COMP-00036</x:t>
  </x:si>
  <x:si>
    <x:t xml:space="preserve">COMP-00037</x:t>
  </x:si>
  <x:si>
    <x:t xml:space="preserve">COMP-00038</x:t>
  </x:si>
  <x:si>
    <x:t xml:space="preserve">COMP-00039</x:t>
  </x:si>
  <x:si>
    <x:t xml:space="preserve">COMP-00040</x:t>
  </x:si>
  <x:si>
    <x:t xml:space="preserve">COMP-00041</x:t>
  </x:si>
  <x:si>
    <x:t xml:space="preserve">COMP-00042</x:t>
  </x:si>
  <x:si>
    <x:t xml:space="preserve">COMP-00043</x:t>
  </x:si>
  <x:si>
    <x:t xml:space="preserve">COMP-00044</x:t>
  </x:si>
  <x:si>
    <x:t xml:space="preserve">COMP-00045</x:t>
  </x:si>
  <x:si>
    <x:t xml:space="preserve">COMP-00046</x:t>
  </x:si>
  <x:si>
    <x:t xml:space="preserve">COMP-00047</x:t>
  </x:si>
  <x:si>
    <x:t xml:space="preserve">COMP-00048</x:t>
  </x:si>
  <x:si>
    <x:t xml:space="preserve">COMP-00049</x:t>
  </x:si>
  <x:si>
    <x:t xml:space="preserve">COMP-00050</x:t>
  </x:si>
  <x:si>
    <x:t xml:space="preserve">COMP-00051</x:t>
  </x:si>
  <x:si>
    <x:t xml:space="preserve">COMP-00052</x:t>
  </x:si>
  <x:si>
    <x:t xml:space="preserve">COMP-00053</x:t>
  </x:si>
  <x:si>
    <x:t xml:space="preserve">COMP-00054</x:t>
  </x:si>
  <x:si>
    <x:t xml:space="preserve">COMP-00055</x:t>
  </x:si>
  <x:si>
    <x:t xml:space="preserve">COMP-00056</x:t>
  </x:si>
  <x:si>
    <x:t xml:space="preserve">COMP-00057</x:t>
  </x:si>
  <x:si>
    <x:t xml:space="preserve">COMP-00058</x:t>
  </x:si>
  <x:si>
    <x:t xml:space="preserve">COMP-00059</x:t>
  </x:si>
  <x:si>
    <x:t xml:space="preserve">COMP-00060</x:t>
  </x:si>
  <x:si>
    <x:t xml:space="preserve">COMP-00061</x:t>
  </x:si>
  <x:si>
    <x:t xml:space="preserve">COMP-00062</x:t>
  </x:si>
  <x:si>
    <x:t xml:space="preserve">COMP-00063</x:t>
  </x:si>
  <x:si>
    <x:t xml:space="preserve">COMP-00064</x:t>
  </x:si>
  <x:si>
    <x:t xml:space="preserve">COMP-00065</x:t>
  </x:si>
  <x:si>
    <x:t xml:space="preserve">COMP-00066</x:t>
  </x:si>
  <x:si>
    <x:t xml:space="preserve">COMP-00067</x:t>
  </x:si>
  <x:si>
    <x:t xml:space="preserve">COMP-00068</x:t>
  </x:si>
  <x:si>
    <x:t xml:space="preserve">COMP-00069</x:t>
  </x:si>
  <x:si>
    <x:t xml:space="preserve">COMP-00070</x:t>
  </x:si>
  <x:si>
    <x:t xml:space="preserve">COMP-00071</x:t>
  </x:si>
  <x:si>
    <x:t xml:space="preserve">COMP-00072</x:t>
  </x:si>
  <x:si>
    <x:t xml:space="preserve">COMP-00073</x:t>
  </x:si>
  <x:si>
    <x:t xml:space="preserve">COMP-00074</x:t>
  </x:si>
  <x:si>
    <x:t xml:space="preserve">COMP-00075</x:t>
  </x:si>
  <x:si>
    <x:t xml:space="preserve">COMP-00076</x:t>
  </x:si>
  <x:si>
    <x:t xml:space="preserve">COMP-00077</x:t>
  </x:si>
  <x:si>
    <x:t xml:space="preserve">COMP-00078</x:t>
  </x:si>
  <x:si>
    <x:t xml:space="preserve">COMP-00079</x:t>
  </x:si>
  <x:si>
    <x:t xml:space="preserve">COMP-00080</x:t>
  </x:si>
  <x:si>
    <x:t xml:space="preserve">COMP-00081</x:t>
  </x:si>
  <x:si>
    <x:t xml:space="preserve">COMP-00082</x:t>
  </x:si>
  <x:si>
    <x:t xml:space="preserve">COMP-00083</x:t>
  </x:si>
  <x:si>
    <x:t xml:space="preserve">COMP-00084</x:t>
  </x:si>
  <x:si>
    <x:t xml:space="preserve">COMP-00085</x:t>
  </x:si>
  <x:si>
    <x:t xml:space="preserve">COMP-00086</x:t>
  </x:si>
  <x:si>
    <x:t xml:space="preserve">COMP-00087</x:t>
  </x:si>
  <x:si>
    <x:t xml:space="preserve">COMP-00088</x:t>
  </x:si>
  <x:si>
    <x:t xml:space="preserve">COMP-00089</x:t>
  </x:si>
  <x:si>
    <x:t xml:space="preserve">COMP-00090</x:t>
  </x:si>
  <x:si>
    <x:t xml:space="preserve">COMP-00091</x:t>
  </x:si>
  <x:si>
    <x:t xml:space="preserve">COMP-00092</x:t>
  </x:si>
  <x:si>
    <x:t xml:space="preserve">COMP-00093</x:t>
  </x:si>
  <x:si>
    <x:t xml:space="preserve">COMP-00094</x:t>
  </x:si>
  <x:si>
    <x:t xml:space="preserve">COMP-00095</x:t>
  </x:si>
  <x:si>
    <x:t xml:space="preserve">COMP-00096</x:t>
  </x:si>
  <x:si>
    <x:t xml:space="preserve">COMP-00097</x:t>
  </x:si>
  <x:si>
    <x:t xml:space="preserve">COMP-00098</x:t>
  </x:si>
  <x:si>
    <x:t xml:space="preserve">COMP-00099</x:t>
  </x:si>
  <x:si>
    <x:t xml:space="preserve">COMP-00100</x:t>
  </x:si>
</x:sst>
</file>

<file path=xl/styles.xml><?xml version="1.0" encoding="utf-8"?>
<x:styleSheet xmlns:x="http://schemas.openxmlformats.org/spreadsheetml/2006/main">
  <x:numFmts count="2">
    <x:numFmt numFmtId="165" formatCode="&quot;R$&quot;\ #,##0.00"/>
    <x:numFmt numFmtId="200" formatCode="0"/>
  </x:numFmts>
  <x:fonts count="2">
    <x:font>
      <x:sz val="11"/>
      <x:color theme="1"/>
      <x:name val="Aptos Narrow"/>
    </x:font>
    <x:font>
      <x:sz val="11"/>
      <x:color theme="1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Font="1" applyAlignment="1">
      <x:alignment vertical="center"/>
    </x:xf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1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165" fontId="1" fillId="0" borderId="0" xfId="0" applyNumberFormat="1" applyFont="1" applyAlignment="1">
      <x:alignment horizontal="right"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14" fontId="1" fillId="0" borderId="1" xfId="0" applyNumberFormat="1" applyFont="1" applyFill="1" applyBorder="1" applyAlignment="1">
      <x:alignment horizontal="center" vertical="center"/>
    </x:xf>
    <x:xf numFmtId="1" fontId="1" fillId="0" borderId="1" xfId="0" applyNumberFormat="1" applyFont="1" applyFill="1" applyBorder="1" applyAlignment="1">
      <x:alignment horizontal="center" vertical="center"/>
    </x:xf>
    <x:xf numFmtId="49" fontId="1" fillId="0" borderId="1" xfId="0" applyNumberFormat="1" applyFont="1" applyFill="1" applyBorder="1" applyAlignment="1">
      <x:alignment horizontal="center" vertical="center"/>
    </x:xf>
    <x:xf numFmtId="165" fontId="1" fillId="0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9">
    <x:dxf>
      <x:font>
        <x:name val="Aptos"/>
      </x:font>
    </x:dxf>
    <x:dxf>
      <x:font>
        <x:name val="Aptos"/>
      </x:font>
      <x:numFmt numFmtId="165" formatCode="&quot;R$&quot;\ #,##0.00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9" formatCode="dd/mm/yyyy"/>
    </x:dxf>
    <x:dxf>
      <x:font>
        <x:name val="Aptos"/>
      </x:font>
      <x:numFmt numFmtId="1" formatCode="0"/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65" formatCode="&quot;R$&quot;\ #,##0.00"/>
    </x:dxf>
    <x:dxf>
      <x:font>
        <x:name val="Aptos"/>
      </x:font>
      <x:numFmt numFmtId="165" formatCode="&quot;R$&quot;\ #,##0.00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u val="none"/>
        <x:sz val="11"/>
        <x:color theme="1"/>
        <x:name val="Aptos"/>
        <x:scheme val="none"/>
      </x:font>
      <x:numFmt numFmtId="30" formatCode="@"/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30" formatCode="@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" formatCode="0"/>
    </x:dxf>
    <x:dxf>
      <x:font>
        <x:name val="Aptos"/>
      </x:font>
    </x:dxf>
    <x:dxf>
      <x:font>
        <x:name val="Aptos"/>
      </x:font>
      <x:numFmt numFmtId="19" formatCode="dd/mm/yyyy"/>
    </x:dxf>
    <x:dxf>
      <x:font>
        <x:name val="Aptos"/>
      </x:font>
    </x:dxf>
    <x:dxf>
      <x:font>
        <x:name val="Aptos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7a9fa1f9d4f8a" /><Relationship Type="http://schemas.openxmlformats.org/officeDocument/2006/relationships/theme" Target="/xl/theme/theme1.xml" Id="R4226c18ef46d43f6" /><Relationship Type="http://schemas.openxmlformats.org/officeDocument/2006/relationships/sharedStrings" Target="/xl/sharedStrings.xml" Id="Re641338d1e184410" /><Relationship Type="http://schemas.openxmlformats.org/officeDocument/2006/relationships/worksheet" Target="/xl/worksheets/sheet1.xml" Id="Readb91564f3f4dca" /><Relationship Type="http://schemas.openxmlformats.org/officeDocument/2006/relationships/worksheet" Target="/xl/worksheets/sheet2.xml" Id="R0619d44c33a2490e" /><Relationship Type="http://schemas.openxmlformats.org/officeDocument/2006/relationships/worksheet" Target="/xl/worksheets/sheet3.xml" Id="R9adca89037aa44fe" /></Relationships>
</file>

<file path=xl/tables/table1.xml><?xml version="1.0" encoding="utf-8"?>
<x:table xmlns:x="http://schemas.openxmlformats.org/spreadsheetml/2006/main" id="1" name="ClientesCadastro" displayName="ClientesCadastro" ref="A1:K31" totalsRowShown="0" dataDxfId="17">
  <x:autoFilter ref="A1:K31"/>
  <x:tableColumns count="11">
    <x:tableColumn id="1" name="ID Cliente" dataDxfId="28"/>
    <x:tableColumn id="2" name="Nome Cliente" dataDxfId="27"/>
    <x:tableColumn id="3" name="Data Nascimento" dataDxfId="26"/>
    <x:tableColumn id="11" name="CPF" dataDxfId="16"/>
    <x:tableColumn id="4" name="Endereço" dataDxfId="25"/>
    <x:tableColumn id="5" name="Número" dataDxfId="24"/>
    <x:tableColumn id="6" name="Complemento" dataDxfId="23"/>
    <x:tableColumn id="7" name="Bairro" dataDxfId="22"/>
    <x:tableColumn id="8" name="Cidade" dataDxfId="21"/>
    <x:tableColumn id="9" name="Estado" dataDxfId="20"/>
    <x:tableColumn id="10" name="CEP" dataDxfId="19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tosCadastro" displayName="ProdutosCadastro" ref="A1:E51" totalsRowShown="0" dataDxfId="11">
  <x:autoFilter ref="A1:E51"/>
  <x:tableColumns count="5">
    <x:tableColumn id="1" name="ID Produto" dataDxfId="15"/>
    <x:tableColumn id="2" name="Descrição" dataDxfId="14"/>
    <x:tableColumn id="3" name="Categoria" dataDxfId="13"/>
    <x:tableColumn id="4" name="Preço de Custo" dataDxfId="10"/>
    <x:tableColumn id="5" name="Preço de Venda" dataDxfId="9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icoCompras" displayName="HistoricoCompras" ref="A1:G101" totalsRowShown="0" dataDxfId="2">
  <x:autoFilter ref="A1:G101"/>
  <x:tableColumns count="7">
    <x:tableColumn id="6" name="ID da Compra" dataDxfId="0"/>
    <x:tableColumn id="1" name="ID do Cliente" dataDxfId="8"/>
    <x:tableColumn id="2" name="ID do Produto" dataDxfId="7"/>
    <x:tableColumn id="3" name="Qtde de Produtos Comprados" dataDxfId="6"/>
    <x:tableColumn id="4" name="Data da Compra" dataDxfId="5"/>
    <x:tableColumn id="5" name="Forma de Pagamento" dataDxfId="4"/>
    <x:tableColumn id="7" name="Valor Total Pago" dataDxfId="1">
      <x:calculatedColumnFormula>_xlfn.XLOOKUP(HistoricoCompras[[#This Row],[ID do Produto]],ProdutosCadastro[ID Produto],ProdutosCadastro[Preço de Venda])*HistoricoCompras[[#This Row],[Qtde de Produtos Comprados]]</x:calculatedColumnFormula>
    </x:tableColumn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66339d761048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55c03a954d49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105471da804543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23.109375" customWidth="1"/>
    <x:col min="3" max="3" width="14.44140625" customWidth="1"/>
    <x:col min="4" max="4" width="16.33203125" customWidth="1"/>
    <x:col min="5" max="5" width="21.77734375" customWidth="1"/>
    <x:col min="6" max="6" width="17.5546875" customWidth="1"/>
    <x:col min="7" max="7" width="15.77734375" customWidth="1"/>
    <x:col min="8" max="8" width="17.5546875" customWidth="1"/>
    <x:col min="9" max="9" width="8.33203125" customWidth="1"/>
    <x:col min="10" max="10" width="13" customWidth="1"/>
  </x:cols>
  <x:sheetData>
    <x:row r="1">
      <x:c r="A1" s="1" t="str">
        <x:v>ID Cliente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</x:row>
    <x:row r="2">
      <x:c r="A2" s="14" t="n">
        <x:v>1</x:v>
      </x:c>
      <x:c r="B2" s="1" t="s">
        <x:v>10</x:v>
      </x:c>
      <x:c r="C2" s="3">
        <x:v>31538</x:v>
      </x:c>
      <x:c r="D2" s="5" t="s">
        <x:v>11</x:v>
      </x:c>
      <x:c r="E2" s="1" t="s">
        <x:v>12</x:v>
      </x:c>
      <x:c r="F2" s="4">
        <x:v>128</x:v>
      </x:c>
      <x:c r="G2" s="1" t="s">
        <x:v>13</x:v>
      </x:c>
      <x:c r="H2" s="1" t="s">
        <x:v>14</x:v>
      </x:c>
      <x:c r="I2" s="1" t="s">
        <x:v>15</x:v>
      </x:c>
      <x:c r="J2" s="2" t="s">
        <x:v>16</x:v>
      </x:c>
      <x:c r="K2" s="5" t="s">
        <x:v>17</x:v>
      </x:c>
    </x:row>
    <x:row r="3">
      <x:c r="A3" s="14" t="n">
        <x:v>2</x:v>
      </x:c>
      <x:c r="B3" s="1" t="s">
        <x:v>18</x:v>
      </x:c>
      <x:c r="C3" s="3">
        <x:v>29067</x:v>
      </x:c>
      <x:c r="D3" s="5" t="s">
        <x:v>19</x:v>
      </x:c>
      <x:c r="E3" s="1" t="s">
        <x:v>20</x:v>
      </x:c>
      <x:c r="F3" s="4">
        <x:v>845</x:v>
      </x:c>
      <x:c r="G3" s="1" t="s">
        <x:v>21</x:v>
      </x:c>
      <x:c r="H3" s="1" t="s">
        <x:v>22</x:v>
      </x:c>
      <x:c r="I3" s="1" t="s">
        <x:v>23</x:v>
      </x:c>
      <x:c r="J3" s="2" t="s">
        <x:v>16</x:v>
      </x:c>
      <x:c r="K3" s="5" t="s">
        <x:v>24</x:v>
      </x:c>
    </x:row>
    <x:row r="4">
      <x:c r="A4" s="14" t="n">
        <x:v>3</x:v>
      </x:c>
      <x:c r="B4" s="1" t="s">
        <x:v>25</x:v>
      </x:c>
      <x:c r="C4" s="3">
        <x:v>33740</x:v>
      </x:c>
      <x:c r="D4" s="5" t="s">
        <x:v>26</x:v>
      </x:c>
      <x:c r="E4" s="1" t="s">
        <x:v>27</x:v>
      </x:c>
      <x:c r="F4" s="4">
        <x:v>57</x:v>
      </x:c>
      <x:c r="G4" s="1" t="s">
        <x:v>28</x:v>
      </x:c>
      <x:c r="H4" s="1" t="s">
        <x:v>29</x:v>
      </x:c>
      <x:c r="I4" s="1" t="s">
        <x:v>30</x:v>
      </x:c>
      <x:c r="J4" s="2" t="s">
        <x:v>31</x:v>
      </x:c>
      <x:c r="K4" s="5" t="s">
        <x:v>32</x:v>
      </x:c>
    </x:row>
    <x:row r="5">
      <x:c r="A5" s="14" t="n">
        <x:v>4</x:v>
      </x:c>
      <x:c r="B5" s="1" t="s">
        <x:v>33</x:v>
      </x:c>
      <x:c r="C5" s="3">
        <x:v>27334</x:v>
      </x:c>
      <x:c r="D5" s="5" t="s">
        <x:v>34</x:v>
      </x:c>
      <x:c r="E5" s="1" t="s">
        <x:v>35</x:v>
      </x:c>
      <x:c r="F5" s="4">
        <x:v>219</x:v>
      </x:c>
      <x:c r="G5" s="1" t="s">
        <x:v>36</x:v>
      </x:c>
      <x:c r="H5" s="1" t="s">
        <x:v>37</x:v>
      </x:c>
      <x:c r="I5" s="1" t="s">
        <x:v>38</x:v>
      </x:c>
      <x:c r="J5" s="2" t="s">
        <x:v>39</x:v>
      </x:c>
      <x:c r="K5" s="5" t="s">
        <x:v>40</x:v>
      </x:c>
    </x:row>
    <x:row r="6">
      <x:c r="A6" s="14" t="n">
        <x:v>5</x:v>
      </x:c>
      <x:c r="B6" s="1" t="s">
        <x:v>41</x:v>
      </x:c>
      <x:c r="C6" s="3">
        <x:v>34964</x:v>
      </x:c>
      <x:c r="D6" s="5" t="s">
        <x:v>42</x:v>
      </x:c>
      <x:c r="E6" s="1" t="s">
        <x:v>43</x:v>
      </x:c>
      <x:c r="F6" s="4">
        <x:v>431</x:v>
      </x:c>
      <x:c r="G6" s="1" t="s">
        <x:v>44</x:v>
      </x:c>
      <x:c r="H6" s="1" t="s">
        <x:v>45</x:v>
      </x:c>
      <x:c r="I6" s="1" t="s">
        <x:v>46</x:v>
      </x:c>
      <x:c r="J6" s="2" t="s">
        <x:v>47</x:v>
      </x:c>
      <x:c r="K6" s="5" t="s">
        <x:v>48</x:v>
      </x:c>
    </x:row>
    <x:row r="7">
      <x:c r="A7" s="14" t="n">
        <x:v>6</x:v>
      </x:c>
      <x:c r="B7" s="1" t="s">
        <x:v>49</x:v>
      </x:c>
      <x:c r="C7" s="3">
        <x:v>30182</x:v>
      </x:c>
      <x:c r="D7" s="5" t="s">
        <x:v>50</x:v>
      </x:c>
      <x:c r="E7" s="1" t="s">
        <x:v>51</x:v>
      </x:c>
      <x:c r="F7" s="4">
        <x:v>92</x:v>
      </x:c>
      <x:c r="G7" s="1" t="s">
        <x:v>52</x:v>
      </x:c>
      <x:c r="H7" s="1" t="s">
        <x:v>53</x:v>
      </x:c>
      <x:c r="I7" s="1" t="s">
        <x:v>54</x:v>
      </x:c>
      <x:c r="J7" s="2" t="s">
        <x:v>55</x:v>
      </x:c>
      <x:c r="K7" s="5" t="s">
        <x:v>56</x:v>
      </x:c>
    </x:row>
    <x:row r="8">
      <x:c r="A8" s="14" t="n">
        <x:v>7</x:v>
      </x:c>
      <x:c r="B8" s="1" t="s">
        <x:v>57</x:v>
      </x:c>
      <x:c r="C8" s="3">
        <x:v>32499</x:v>
      </x:c>
      <x:c r="D8" s="5" t="s">
        <x:v>58</x:v>
      </x:c>
      <x:c r="E8" s="1" t="s">
        <x:v>59</x:v>
      </x:c>
      <x:c r="F8" s="4">
        <x:v>1500</x:v>
      </x:c>
      <x:c r="G8" s="1" t="s">
        <x:v>60</x:v>
      </x:c>
      <x:c r="H8" s="1" t="s">
        <x:v>61</x:v>
      </x:c>
      <x:c r="I8" s="1" t="s">
        <x:v>62</x:v>
      </x:c>
      <x:c r="J8" s="2" t="s">
        <x:v>63</x:v>
      </x:c>
      <x:c r="K8" s="5" t="s">
        <x:v>64</x:v>
      </x:c>
    </x:row>
    <x:row r="9">
      <x:c r="A9" s="14" t="n">
        <x:v>8</x:v>
      </x:c>
      <x:c r="B9" s="1" t="s">
        <x:v>65</x:v>
      </x:c>
      <x:c r="C9" s="3">
        <x:v>28644</x:v>
      </x:c>
      <x:c r="D9" s="5" t="s">
        <x:v>66</x:v>
      </x:c>
      <x:c r="E9" s="1" t="s">
        <x:v>67</x:v>
      </x:c>
      <x:c r="F9" s="4">
        <x:v>364</x:v>
      </x:c>
      <x:c r="G9" s="1" t="s">
        <x:v>68</x:v>
      </x:c>
      <x:c r="H9" s="1" t="s">
        <x:v>22</x:v>
      </x:c>
      <x:c r="I9" s="1" t="s">
        <x:v>69</x:v>
      </x:c>
      <x:c r="J9" s="2" t="s">
        <x:v>70</x:v>
      </x:c>
      <x:c r="K9" s="5" t="s">
        <x:v>71</x:v>
      </x:c>
    </x:row>
    <x:row r="10">
      <x:c r="A10" s="14" t="n">
        <x:v>9</x:v>
      </x:c>
      <x:c r="B10" s="1" t="s">
        <x:v>72</x:v>
      </x:c>
      <x:c r="C10" s="3">
        <x:v>35527</x:v>
      </x:c>
      <x:c r="D10" s="5" t="s">
        <x:v>73</x:v>
      </x:c>
      <x:c r="E10" s="1" t="s">
        <x:v>74</x:v>
      </x:c>
      <x:c r="F10" s="4">
        <x:v>75</x:v>
      </x:c>
      <x:c r="G10" s="1" t="s">
        <x:v>75</x:v>
      </x:c>
      <x:c r="H10" s="1" t="s">
        <x:v>76</x:v>
      </x:c>
      <x:c r="I10" s="1" t="s">
        <x:v>77</x:v>
      </x:c>
      <x:c r="J10" s="2" t="s">
        <x:v>78</x:v>
      </x:c>
      <x:c r="K10" s="5" t="s">
        <x:v>79</x:v>
      </x:c>
    </x:row>
    <x:row r="11">
      <x:c r="A11" s="14" t="n">
        <x:v>10</x:v>
      </x:c>
      <x:c r="B11" s="1" t="s">
        <x:v>80</x:v>
      </x:c>
      <x:c r="C11" s="3">
        <x:v>26749</x:v>
      </x:c>
      <x:c r="D11" s="5" t="s">
        <x:v>81</x:v>
      </x:c>
      <x:c r="E11" s="1" t="s">
        <x:v>82</x:v>
      </x:c>
      <x:c r="F11" s="4">
        <x:v>980</x:v>
      </x:c>
      <x:c r="G11" s="1" t="s">
        <x:v>83</x:v>
      </x:c>
      <x:c r="H11" s="1" t="s">
        <x:v>84</x:v>
      </x:c>
      <x:c r="I11" s="1" t="s">
        <x:v>85</x:v>
      </x:c>
      <x:c r="J11" s="2" t="s">
        <x:v>86</x:v>
      </x:c>
      <x:c r="K11" s="5" t="s">
        <x:v>87</x:v>
      </x:c>
    </x:row>
    <x:row r="12">
      <x:c r="A12" s="14" t="n">
        <x:v>11</x:v>
      </x:c>
      <x:c r="B12" s="1" t="s">
        <x:v>88</x:v>
      </x:c>
      <x:c r="C12" s="3">
        <x:v>33153</x:v>
      </x:c>
      <x:c r="D12" s="5" t="s">
        <x:v>89</x:v>
      </x:c>
      <x:c r="E12" s="1" t="s">
        <x:v>90</x:v>
      </x:c>
      <x:c r="F12" s="4">
        <x:v>246</x:v>
      </x:c>
      <x:c r="G12" s="1" t="s">
        <x:v>91</x:v>
      </x:c>
      <x:c r="H12" s="1" t="s">
        <x:v>92</x:v>
      </x:c>
      <x:c r="I12" s="1" t="s">
        <x:v>93</x:v>
      </x:c>
      <x:c r="J12" s="2" t="s">
        <x:v>94</x:v>
      </x:c>
      <x:c r="K12" s="5" t="s">
        <x:v>95</x:v>
      </x:c>
    </x:row>
    <x:row r="13">
      <x:c r="A13" s="14" t="n">
        <x:v>12</x:v>
      </x:c>
      <x:c r="B13" s="1" t="s">
        <x:v>96</x:v>
      </x:c>
      <x:c r="C13" s="3">
        <x:v>29794</x:v>
      </x:c>
      <x:c r="D13" s="5" t="s">
        <x:v>97</x:v>
      </x:c>
      <x:c r="E13" s="1" t="s">
        <x:v>98</x:v>
      </x:c>
      <x:c r="F13" s="4">
        <x:v>613</x:v>
      </x:c>
      <x:c r="G13" s="1" t="s">
        <x:v>36</x:v>
      </x:c>
      <x:c r="H13" s="1" t="s">
        <x:v>99</x:v>
      </x:c>
      <x:c r="I13" s="1" t="s">
        <x:v>100</x:v>
      </x:c>
      <x:c r="J13" s="2" t="s">
        <x:v>101</x:v>
      </x:c>
      <x:c r="K13" s="5" t="s">
        <x:v>102</x:v>
      </x:c>
    </x:row>
    <x:row r="14">
      <x:c r="A14" s="14" t="n">
        <x:v>13</x:v>
      </x:c>
      <x:c r="B14" s="1" t="s">
        <x:v>103</x:v>
      </x:c>
      <x:c r="C14" s="3">
        <x:v>34383</x:v>
      </x:c>
      <x:c r="D14" s="5" t="s">
        <x:v>104</x:v>
      </x:c>
      <x:c r="E14" s="1" t="s">
        <x:v>105</x:v>
      </x:c>
      <x:c r="F14" s="4">
        <x:v>188</x:v>
      </x:c>
      <x:c r="G14" s="1" t="s">
        <x:v>52</x:v>
      </x:c>
      <x:c r="H14" s="1" t="s">
        <x:v>106</x:v>
      </x:c>
      <x:c r="I14" s="1" t="s">
        <x:v>107</x:v>
      </x:c>
      <x:c r="J14" s="2" t="s">
        <x:v>108</x:v>
      </x:c>
      <x:c r="K14" s="5" t="s">
        <x:v>109</x:v>
      </x:c>
    </x:row>
    <x:row r="15">
      <x:c r="A15" s="14" t="n">
        <x:v>14</x:v>
      </x:c>
      <x:c r="B15" s="1" t="s">
        <x:v>110</x:v>
      </x:c>
      <x:c r="C15" s="3">
        <x:v>28164</x:v>
      </x:c>
      <x:c r="D15" s="5" t="s">
        <x:v>111</x:v>
      </x:c>
      <x:c r="E15" s="1" t="s">
        <x:v>112</x:v>
      </x:c>
      <x:c r="F15" s="4">
        <x:v>727</x:v>
      </x:c>
      <x:c r="G15" s="1" t="s">
        <x:v>113</x:v>
      </x:c>
      <x:c r="H15" s="1" t="s">
        <x:v>114</x:v>
      </x:c>
      <x:c r="I15" s="1" t="s">
        <x:v>115</x:v>
      </x:c>
      <x:c r="J15" s="2" t="s">
        <x:v>116</x:v>
      </x:c>
      <x:c r="K15" s="5" t="s">
        <x:v>117</x:v>
      </x:c>
    </x:row>
    <x:row r="16">
      <x:c r="A16" s="14" t="n">
        <x:v>15</x:v>
      </x:c>
      <x:c r="B16" s="1" t="s">
        <x:v>118</x:v>
      </x:c>
      <x:c r="C16" s="3">
        <x:v>36116</x:v>
      </x:c>
      <x:c r="D16" s="5" t="s">
        <x:v>119</x:v>
      </x:c>
      <x:c r="E16" s="1" t="s">
        <x:v>120</x:v>
      </x:c>
      <x:c r="F16" s="4">
        <x:v>305</x:v>
      </x:c>
      <x:c r="G16" s="1" t="s">
        <x:v>121</x:v>
      </x:c>
      <x:c r="H16" s="1" t="s">
        <x:v>122</x:v>
      </x:c>
      <x:c r="I16" s="1" t="s">
        <x:v>123</x:v>
      </x:c>
      <x:c r="J16" s="2" t="s">
        <x:v>124</x:v>
      </x:c>
      <x:c r="K16" s="5" t="s">
        <x:v>125</x:v>
      </x:c>
    </x:row>
    <x:row r="17">
      <x:c r="A17" s="14" t="n">
        <x:v>16</x:v>
      </x:c>
      <x:c r="B17" s="1" t="s">
        <x:v>126</x:v>
      </x:c>
      <x:c r="C17" s="3">
        <x:v>25872</x:v>
      </x:c>
      <x:c r="D17" s="5" t="s">
        <x:v>127</x:v>
      </x:c>
      <x:c r="E17" s="1" t="s">
        <x:v>128</x:v>
      </x:c>
      <x:c r="F17" s="4">
        <x:v>44</x:v>
      </x:c>
      <x:c r="G17" s="1" t="s">
        <x:v>129</x:v>
      </x:c>
      <x:c r="H17" s="1" t="s">
        <x:v>22</x:v>
      </x:c>
      <x:c r="I17" s="1" t="s">
        <x:v>130</x:v>
      </x:c>
      <x:c r="J17" s="2" t="s">
        <x:v>131</x:v>
      </x:c>
      <x:c r="K17" s="5" t="s">
        <x:v>132</x:v>
      </x:c>
    </x:row>
    <x:row r="18">
      <x:c r="A18" s="14" t="n">
        <x:v>17</x:v>
      </x:c>
      <x:c r="B18" s="1" t="s">
        <x:v>133</x:v>
      </x:c>
      <x:c r="C18" s="3">
        <x:v>32032</x:v>
      </x:c>
      <x:c r="D18" s="5" t="s">
        <x:v>134</x:v>
      </x:c>
      <x:c r="E18" s="1" t="s">
        <x:v>135</x:v>
      </x:c>
      <x:c r="F18" s="4">
        <x:v>116</x:v>
      </x:c>
      <x:c r="G18" s="1" t="s">
        <x:v>136</x:v>
      </x:c>
      <x:c r="H18" s="1" t="s">
        <x:v>137</x:v>
      </x:c>
      <x:c r="I18" s="1" t="s">
        <x:v>77</x:v>
      </x:c>
      <x:c r="J18" s="2" t="s">
        <x:v>78</x:v>
      </x:c>
      <x:c r="K18" s="5" t="s">
        <x:v>138</x:v>
      </x:c>
    </x:row>
    <x:row r="19">
      <x:c r="A19" s="14" t="n">
        <x:v>18</x:v>
      </x:c>
      <x:c r="B19" s="1" t="s">
        <x:v>139</x:v>
      </x:c>
      <x:c r="C19" s="3">
        <x:v>31017</x:v>
      </x:c>
      <x:c r="D19" s="5" t="s">
        <x:v>140</x:v>
      </x:c>
      <x:c r="E19" s="1" t="s">
        <x:v>141</x:v>
      </x:c>
      <x:c r="F19" s="4">
        <x:v>539</x:v>
      </x:c>
      <x:c r="G19" s="1" t="s">
        <x:v>142</x:v>
      </x:c>
      <x:c r="H19" s="1" t="s">
        <x:v>143</x:v>
      </x:c>
      <x:c r="I19" s="1" t="s">
        <x:v>115</x:v>
      </x:c>
      <x:c r="J19" s="2" t="s">
        <x:v>116</x:v>
      </x:c>
      <x:c r="K19" s="5" t="s">
        <x:v>144</x:v>
      </x:c>
    </x:row>
    <x:row r="20">
      <x:c r="A20" s="14" t="n">
        <x:v>19</x:v>
      </x:c>
      <x:c r="B20" s="1" t="s">
        <x:v>145</x:v>
      </x:c>
      <x:c r="C20" s="3">
        <x:v>34722</x:v>
      </x:c>
      <x:c r="D20" s="5" t="s">
        <x:v>146</x:v>
      </x:c>
      <x:c r="E20" s="1" t="s">
        <x:v>147</x:v>
      </x:c>
      <x:c r="F20" s="4">
        <x:v>1201</x:v>
      </x:c>
      <x:c r="G20" s="1" t="s">
        <x:v>148</x:v>
      </x:c>
      <x:c r="H20" s="1" t="s">
        <x:v>149</x:v>
      </x:c>
      <x:c r="I20" s="1" t="s">
        <x:v>54</x:v>
      </x:c>
      <x:c r="J20" s="2" t="s">
        <x:v>55</x:v>
      </x:c>
      <x:c r="K20" s="5" t="s">
        <x:v>150</x:v>
      </x:c>
    </x:row>
    <x:row r="21">
      <x:c r="A21" s="14" t="n">
        <x:v>20</x:v>
      </x:c>
      <x:c r="B21" s="1" t="s">
        <x:v>151</x:v>
      </x:c>
      <x:c r="C21" s="3">
        <x:v>27794</x:v>
      </x:c>
      <x:c r="D21" s="5" t="s">
        <x:v>152</x:v>
      </x:c>
      <x:c r="E21" s="1" t="s">
        <x:v>153</x:v>
      </x:c>
      <x:c r="F21" s="4">
        <x:v>83</x:v>
      </x:c>
      <x:c r="G21" s="1" t="s">
        <x:v>52</x:v>
      </x:c>
      <x:c r="H21" s="1" t="s">
        <x:v>154</x:v>
      </x:c>
      <x:c r="I21" s="1" t="s">
        <x:v>46</x:v>
      </x:c>
      <x:c r="J21" s="2" t="s">
        <x:v>47</x:v>
      </x:c>
      <x:c r="K21" s="5" t="s">
        <x:v>155</x:v>
      </x:c>
    </x:row>
    <x:row r="22">
      <x:c r="A22" s="14" t="n">
        <x:v>21</x:v>
      </x:c>
      <x:c r="B22" s="1" t="s">
        <x:v>156</x:v>
      </x:c>
      <x:c r="C22" s="3">
        <x:v>35407</x:v>
      </x:c>
      <x:c r="D22" s="5" t="s">
        <x:v>157</x:v>
      </x:c>
      <x:c r="E22" s="1" t="s">
        <x:v>158</x:v>
      </x:c>
      <x:c r="F22" s="4">
        <x:v>492</x:v>
      </x:c>
      <x:c r="G22" s="1" t="s">
        <x:v>159</x:v>
      </x:c>
      <x:c r="H22" s="1" t="s">
        <x:v>160</x:v>
      </x:c>
      <x:c r="I22" s="1" t="s">
        <x:v>30</x:v>
      </x:c>
      <x:c r="J22" s="2" t="s">
        <x:v>31</x:v>
      </x:c>
      <x:c r="K22" s="5" t="s">
        <x:v>161</x:v>
      </x:c>
    </x:row>
    <x:row r="23">
      <x:c r="A23" s="14" t="n">
        <x:v>22</x:v>
      </x:c>
      <x:c r="B23" s="1" t="s">
        <x:v>162</x:v>
      </x:c>
      <x:c r="C23" s="3">
        <x:v>29384</x:v>
      </x:c>
      <x:c r="D23" s="5" t="s">
        <x:v>163</x:v>
      </x:c>
      <x:c r="E23" s="1" t="s">
        <x:v>164</x:v>
      </x:c>
      <x:c r="F23" s="4">
        <x:v>267</x:v>
      </x:c>
      <x:c r="G23" s="1" t="s">
        <x:v>165</x:v>
      </x:c>
      <x:c r="H23" s="1" t="s">
        <x:v>166</x:v>
      </x:c>
      <x:c r="I23" s="1" t="s">
        <x:v>15</x:v>
      </x:c>
      <x:c r="J23" s="2" t="s">
        <x:v>16</x:v>
      </x:c>
      <x:c r="K23" s="5" t="s">
        <x:v>167</x:v>
      </x:c>
    </x:row>
    <x:row r="24">
      <x:c r="A24" s="14" t="n">
        <x:v>23</x:v>
      </x:c>
      <x:c r="B24" s="1" t="s">
        <x:v>168</x:v>
      </x:c>
      <x:c r="C24" s="3">
        <x:v>32590</x:v>
      </x:c>
      <x:c r="D24" s="5" t="s">
        <x:v>169</x:v>
      </x:c>
      <x:c r="E24" s="1" t="s">
        <x:v>170</x:v>
      </x:c>
      <x:c r="F24" s="4">
        <x:v>711</x:v>
      </x:c>
      <x:c r="G24" s="1" t="s">
        <x:v>171</x:v>
      </x:c>
      <x:c r="H24" s="1" t="s">
        <x:v>172</x:v>
      </x:c>
      <x:c r="I24" s="1" t="s">
        <x:v>62</x:v>
      </x:c>
      <x:c r="J24" s="2" t="s">
        <x:v>63</x:v>
      </x:c>
      <x:c r="K24" s="5" t="s">
        <x:v>173</x:v>
      </x:c>
    </x:row>
    <x:row r="25">
      <x:c r="A25" s="14" t="n">
        <x:v>24</x:v>
      </x:c>
      <x:c r="B25" s="1" t="s">
        <x:v>174</x:v>
      </x:c>
      <x:c r="C25" s="3">
        <x:v>33970</x:v>
      </x:c>
      <x:c r="D25" s="5" t="s">
        <x:v>175</x:v>
      </x:c>
      <x:c r="E25" s="1" t="s">
        <x:v>176</x:v>
      </x:c>
      <x:c r="F25" s="4">
        <x:v>390</x:v>
      </x:c>
      <x:c r="G25" s="1" t="s">
        <x:v>177</x:v>
      </x:c>
      <x:c r="H25" s="1" t="s">
        <x:v>178</x:v>
      </x:c>
      <x:c r="I25" s="1" t="s">
        <x:v>69</x:v>
      </x:c>
      <x:c r="J25" s="2" t="s">
        <x:v>70</x:v>
      </x:c>
      <x:c r="K25" s="5" t="s">
        <x:v>179</x:v>
      </x:c>
    </x:row>
    <x:row r="26">
      <x:c r="A26" s="14" t="n">
        <x:v>25</x:v>
      </x:c>
      <x:c r="B26" s="1" t="s">
        <x:v>180</x:v>
      </x:c>
      <x:c r="C26" s="3">
        <x:v>27037</x:v>
      </x:c>
      <x:c r="D26" s="5" t="s">
        <x:v>181</x:v>
      </x:c>
      <x:c r="E26" s="1" t="s">
        <x:v>182</x:v>
      </x:c>
      <x:c r="F26" s="4">
        <x:v>156</x:v>
      </x:c>
      <x:c r="G26" s="1" t="s">
        <x:v>36</x:v>
      </x:c>
      <x:c r="H26" s="1" t="s">
        <x:v>183</x:v>
      </x:c>
      <x:c r="I26" s="1" t="s">
        <x:v>100</x:v>
      </x:c>
      <x:c r="J26" s="2" t="s">
        <x:v>101</x:v>
      </x:c>
      <x:c r="K26" s="5" t="s">
        <x:v>184</x:v>
      </x:c>
    </x:row>
    <x:row r="27">
      <x:c r="A27" s="14" t="n">
        <x:v>26</x:v>
      </x:c>
      <x:c r="B27" s="1" t="s">
        <x:v>185</x:v>
      </x:c>
      <x:c r="C27" s="3">
        <x:v>35051</x:v>
      </x:c>
      <x:c r="D27" s="5" t="s">
        <x:v>186</x:v>
      </x:c>
      <x:c r="E27" s="1" t="s">
        <x:v>187</x:v>
      </x:c>
      <x:c r="F27" s="4">
        <x:v>608</x:v>
      </x:c>
      <x:c r="G27" s="1" t="s">
        <x:v>52</x:v>
      </x:c>
      <x:c r="H27" s="1" t="s">
        <x:v>22</x:v>
      </x:c>
      <x:c r="I27" s="1" t="s">
        <x:v>188</x:v>
      </x:c>
      <x:c r="J27" s="2" t="s">
        <x:v>189</x:v>
      </x:c>
      <x:c r="K27" s="5" t="s">
        <x:v>190</x:v>
      </x:c>
    </x:row>
    <x:row r="28">
      <x:c r="A28" s="14" t="n">
        <x:v>27</x:v>
      </x:c>
      <x:c r="B28" s="1" t="s">
        <x:v>191</x:v>
      </x:c>
      <x:c r="C28" s="3">
        <x:v>30499</x:v>
      </x:c>
      <x:c r="D28" s="5" t="s">
        <x:v>192</x:v>
      </x:c>
      <x:c r="E28" s="1" t="s">
        <x:v>193</x:v>
      </x:c>
      <x:c r="F28" s="4">
        <x:v>1024</x:v>
      </x:c>
      <x:c r="G28" s="1" t="s">
        <x:v>194</x:v>
      </x:c>
      <x:c r="H28" s="1" t="s">
        <x:v>195</x:v>
      </x:c>
      <x:c r="I28" s="1" t="s">
        <x:v>196</x:v>
      </x:c>
      <x:c r="J28" s="2" t="s">
        <x:v>197</x:v>
      </x:c>
      <x:c r="K28" s="5" t="s">
        <x:v>198</x:v>
      </x:c>
    </x:row>
    <x:row r="29">
      <x:c r="A29" s="14" t="n">
        <x:v>28</x:v>
      </x:c>
      <x:c r="B29" s="1" t="s">
        <x:v>199</x:v>
      </x:c>
      <x:c r="C29" s="3">
        <x:v>33245</x:v>
      </x:c>
      <x:c r="D29" s="5" t="s">
        <x:v>200</x:v>
      </x:c>
      <x:c r="E29" s="1" t="s">
        <x:v>201</x:v>
      </x:c>
      <x:c r="F29" s="4">
        <x:v>231</x:v>
      </x:c>
      <x:c r="G29" s="1" t="s">
        <x:v>21</x:v>
      </x:c>
      <x:c r="H29" s="1" t="s">
        <x:v>202</x:v>
      </x:c>
      <x:c r="I29" s="1" t="s">
        <x:v>203</x:v>
      </x:c>
      <x:c r="J29" s="2" t="s">
        <x:v>204</x:v>
      </x:c>
      <x:c r="K29" s="5" t="s">
        <x:v>205</x:v>
      </x:c>
    </x:row>
    <x:row r="30">
      <x:c r="A30" s="14" t="n">
        <x:v>29</x:v>
      </x:c>
      <x:c r="B30" s="1" t="s">
        <x:v>206</x:v>
      </x:c>
      <x:c r="C30" s="3">
        <x:v>28890</x:v>
      </x:c>
      <x:c r="D30" s="5" t="s">
        <x:v>207</x:v>
      </x:c>
      <x:c r="E30" s="1" t="s">
        <x:v>208</x:v>
      </x:c>
      <x:c r="F30" s="4">
        <x:v>69</x:v>
      </x:c>
      <x:c r="G30" s="1" t="s">
        <x:v>28</x:v>
      </x:c>
      <x:c r="H30" s="1" t="s">
        <x:v>22</x:v>
      </x:c>
      <x:c r="I30" s="1" t="s">
        <x:v>209</x:v>
      </x:c>
      <x:c r="J30" s="2" t="s">
        <x:v>210</x:v>
      </x:c>
      <x:c r="K30" s="5" t="s">
        <x:v>211</x:v>
      </x:c>
    </x:row>
    <x:row r="31">
      <x:c r="A31" s="14" t="n">
        <x:v>30</x:v>
      </x:c>
      <x:c r="B31" s="1" t="s">
        <x:v>212</x:v>
      </x:c>
      <x:c r="C31" s="3">
        <x:v>35829</x:v>
      </x:c>
      <x:c r="D31" s="5" t="s">
        <x:v>213</x:v>
      </x:c>
      <x:c r="E31" s="1" t="s">
        <x:v>214</x:v>
      </x:c>
      <x:c r="F31" s="4">
        <x:v>875</x:v>
      </x:c>
      <x:c r="G31" s="1" t="s">
        <x:v>215</x:v>
      </x:c>
      <x:c r="H31" s="1" t="s">
        <x:v>216</x:v>
      </x:c>
      <x:c r="I31" s="1" t="s">
        <x:v>38</x:v>
      </x:c>
      <x:c r="J31" s="2" t="s">
        <x:v>39</x:v>
      </x:c>
      <x:c r="K31" s="5" t="s">
        <x:v>217</x:v>
      </x:c>
    </x:row>
  </x:sheetData>
  <x:pageMargins left="0.7" right="0.7" top="0.75" bottom="0.75" header="0.3" footer="0.3"/>
  <x:tableParts count="1">
    <x:tablePart xmlns:r="http://schemas.openxmlformats.org/officeDocument/2006/relationships" r:id="R9666339d761048a1"/>
  </x:tableParts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4.44140625" customWidth="1"/>
    <x:col min="2" max="2" width="42.5546875" customWidth="1"/>
    <x:col min="3" max="3" width="17.5546875" customWidth="1"/>
    <x:col min="4" max="5" width="17" customWidth="1"/>
  </x:cols>
  <x:sheetData>
    <x:row r="1">
      <x:c r="A1" s="1" t="s">
        <x:v>218</x:v>
      </x:c>
      <x:c r="B1" s="1" t="s">
        <x:v>219</x:v>
      </x:c>
      <x:c r="C1" s="1" t="s">
        <x:v>220</x:v>
      </x:c>
      <x:c r="D1" s="1" t="s">
        <x:v>221</x:v>
      </x:c>
      <x:c r="E1" s="1" t="s">
        <x:v>222</x:v>
      </x:c>
    </x:row>
    <x:row r="2">
      <x:c r="A2" s="2" t="s">
        <x:v>223</x:v>
      </x:c>
      <x:c r="B2" s="1" t="s">
        <x:v>224</x:v>
      </x:c>
      <x:c r="C2" s="2" t="s">
        <x:v>225</x:v>
      </x:c>
      <x:c r="D2" s="6">
        <x:v>22.9</x:v>
      </x:c>
      <x:c r="E2" s="6">
        <x:v>29.9</x:v>
      </x:c>
    </x:row>
    <x:row r="3">
      <x:c r="A3" s="2" t="s">
        <x:v>226</x:v>
      </x:c>
      <x:c r="B3" s="1" t="s">
        <x:v>227</x:v>
      </x:c>
      <x:c r="C3" s="2" t="s">
        <x:v>225</x:v>
      </x:c>
      <x:c r="D3" s="6">
        <x:v>6.8</x:v>
      </x:c>
      <x:c r="E3" s="6">
        <x:v>9.49</x:v>
      </x:c>
    </x:row>
    <x:row r="4">
      <x:c r="A4" s="2" t="s">
        <x:v>228</x:v>
      </x:c>
      <x:c r="B4" s="1" t="s">
        <x:v>229</x:v>
      </x:c>
      <x:c r="C4" s="2" t="s">
        <x:v>225</x:v>
      </x:c>
      <x:c r="D4" s="6">
        <x:v>3.4</x:v>
      </x:c>
      <x:c r="E4" s="6">
        <x:v>4.79</x:v>
      </x:c>
    </x:row>
    <x:row r="5">
      <x:c r="A5" s="2" t="s">
        <x:v>230</x:v>
      </x:c>
      <x:c r="B5" s="1" t="s">
        <x:v>231</x:v>
      </x:c>
      <x:c r="C5" s="2" t="s">
        <x:v>225</x:v>
      </x:c>
      <x:c r="D5" s="6">
        <x:v>1.75</x:v>
      </x:c>
      <x:c r="E5" s="6">
        <x:v>2.69</x:v>
      </x:c>
    </x:row>
    <x:row r="6">
      <x:c r="A6" s="2" t="s">
        <x:v>232</x:v>
      </x:c>
      <x:c r="B6" s="1" t="s">
        <x:v>233</x:v>
      </x:c>
      <x:c r="C6" s="2" t="s">
        <x:v>225</x:v>
      </x:c>
      <x:c r="D6" s="6">
        <x:v>4.0999999999999996</x:v>
      </x:c>
      <x:c r="E6" s="6">
        <x:v>5.99</x:v>
      </x:c>
    </x:row>
    <x:row r="7">
      <x:c r="A7" s="2" t="s">
        <x:v>234</x:v>
      </x:c>
      <x:c r="B7" s="1" t="s">
        <x:v>235</x:v>
      </x:c>
      <x:c r="C7" s="2" t="s">
        <x:v>236</x:v>
      </x:c>
      <x:c r="D7" s="6">
        <x:v>2.85</x:v>
      </x:c>
      <x:c r="E7" s="6">
        <x:v>4.29</x:v>
      </x:c>
    </x:row>
    <x:row r="8">
      <x:c r="A8" s="2" t="s">
        <x:v>237</x:v>
      </x:c>
      <x:c r="B8" s="1" t="s">
        <x:v>238</x:v>
      </x:c>
      <x:c r="C8" s="2" t="s">
        <x:v>239</x:v>
      </x:c>
      <x:c r="D8" s="6">
        <x:v>1.65</x:v>
      </x:c>
      <x:c r="E8" s="6">
        <x:v>2.79</x:v>
      </x:c>
    </x:row>
    <x:row r="9">
      <x:c r="A9" s="2" t="s">
        <x:v>240</x:v>
      </x:c>
      <x:c r="B9" s="1" t="s">
        <x:v>241</x:v>
      </x:c>
      <x:c r="C9" s="2" t="s">
        <x:v>225</x:v>
      </x:c>
      <x:c r="D9" s="6">
        <x:v>5.95</x:v>
      </x:c>
      <x:c r="E9" s="6">
        <x:v>7.99</x:v>
      </x:c>
    </x:row>
    <x:row r="10">
      <x:c r="A10" s="2" t="s">
        <x:v>242</x:v>
      </x:c>
      <x:c r="B10" s="1" t="s">
        <x:v>243</x:v>
      </x:c>
      <x:c r="C10" s="2" t="s">
        <x:v>225</x:v>
      </x:c>
      <x:c r="D10" s="6">
        <x:v>25.8</x:v>
      </x:c>
      <x:c r="E10" s="6">
        <x:v>34.9</x:v>
      </x:c>
    </x:row>
    <x:row r="11">
      <x:c r="A11" s="2" t="s">
        <x:v>244</x:v>
      </x:c>
      <x:c r="B11" s="1" t="s">
        <x:v>245</x:v>
      </x:c>
      <x:c r="C11" s="2" t="s">
        <x:v>246</x:v>
      </x:c>
      <x:c r="D11" s="6">
        <x:v>15.9</x:v>
      </x:c>
      <x:c r="E11" s="6">
        <x:v>21.9</x:v>
      </x:c>
    </x:row>
    <x:row r="12">
      <x:c r="A12" s="2" t="s">
        <x:v>247</x:v>
      </x:c>
      <x:c r="B12" s="1" t="s">
        <x:v>248</x:v>
      </x:c>
      <x:c r="C12" s="2" t="s">
        <x:v>249</x:v>
      </x:c>
      <x:c r="D12" s="6">
        <x:v>3.65</x:v>
      </x:c>
      <x:c r="E12" s="6">
        <x:v>4.8899999999999997</x:v>
      </x:c>
    </x:row>
    <x:row r="13">
      <x:c r="A13" s="2" t="s">
        <x:v>250</x:v>
      </x:c>
      <x:c r="B13" s="1" t="s">
        <x:v>251</x:v>
      </x:c>
      <x:c r="C13" s="2" t="s">
        <x:v>249</x:v>
      </x:c>
      <x:c r="D13" s="6">
        <x:v>3.75</x:v>
      </x:c>
      <x:c r="E13" s="6">
        <x:v>4.99</x:v>
      </x:c>
    </x:row>
    <x:row r="14">
      <x:c r="A14" s="2" t="s">
        <x:v>252</x:v>
      </x:c>
      <x:c r="B14" s="1" t="s">
        <x:v>253</x:v>
      </x:c>
      <x:c r="C14" s="2" t="s">
        <x:v>249</x:v>
      </x:c>
      <x:c r="D14" s="6">
        <x:v>8.9</x:v>
      </x:c>
      <x:c r="E14" s="6">
        <x:v>11.99</x:v>
      </x:c>
    </x:row>
    <x:row r="15">
      <x:c r="A15" s="2" t="s">
        <x:v>254</x:v>
      </x:c>
      <x:c r="B15" s="1" t="s">
        <x:v>255</x:v>
      </x:c>
      <x:c r="C15" s="2" t="s">
        <x:v>249</x:v>
      </x:c>
      <x:c r="D15" s="6">
        <x:v>5.4</x:v>
      </x:c>
      <x:c r="E15" s="6">
        <x:v>7.49</x:v>
      </x:c>
    </x:row>
    <x:row r="16">
      <x:c r="A16" s="2" t="s">
        <x:v>256</x:v>
      </x:c>
      <x:c r="B16" s="1" t="s">
        <x:v>257</x:v>
      </x:c>
      <x:c r="C16" s="2" t="s">
        <x:v>258</x:v>
      </x:c>
      <x:c r="D16" s="6">
        <x:v>9.8000000000000007</x:v>
      </x:c>
      <x:c r="E16" s="6">
        <x:v>13.49</x:v>
      </x:c>
    </x:row>
    <x:row r="17">
      <x:c r="A17" s="2" t="s">
        <x:v>259</x:v>
      </x:c>
      <x:c r="B17" s="1" t="s">
        <x:v>260</x:v>
      </x:c>
      <x:c r="C17" s="2" t="s">
        <x:v>258</x:v>
      </x:c>
      <x:c r="D17" s="6">
        <x:v>7.6</x:v>
      </x:c>
      <x:c r="E17" s="6">
        <x:v>10.49</x:v>
      </x:c>
    </x:row>
    <x:row r="18">
      <x:c r="A18" s="2" t="s">
        <x:v>261</x:v>
      </x:c>
      <x:c r="B18" s="1" t="s">
        <x:v>262</x:v>
      </x:c>
      <x:c r="C18" s="2" t="s">
        <x:v>249</x:v>
      </x:c>
      <x:c r="D18" s="6">
        <x:v>2.15</x:v>
      </x:c>
      <x:c r="E18" s="6">
        <x:v>3.29</x:v>
      </x:c>
    </x:row>
    <x:row r="19">
      <x:c r="A19" s="2" t="s">
        <x:v>263</x:v>
      </x:c>
      <x:c r="B19" s="1" t="s">
        <x:v>264</x:v>
      </x:c>
      <x:c r="C19" s="2" t="s">
        <x:v>249</x:v>
      </x:c>
      <x:c r="D19" s="6">
        <x:v>6.75</x:v>
      </x:c>
      <x:c r="E19" s="6">
        <x:v>9.2899999999999991</x:v>
      </x:c>
    </x:row>
    <x:row r="20">
      <x:c r="A20" s="2" t="s">
        <x:v>265</x:v>
      </x:c>
      <x:c r="B20" s="1" t="s">
        <x:v>266</x:v>
      </x:c>
      <x:c r="C20" s="2" t="s">
        <x:v>267</x:v>
      </x:c>
      <x:c r="D20" s="6">
        <x:v>7.9</x:v>
      </x:c>
      <x:c r="E20" s="6">
        <x:v>10.9</x:v>
      </x:c>
    </x:row>
    <x:row r="21">
      <x:c r="A21" s="2" t="s">
        <x:v>268</x:v>
      </x:c>
      <x:c r="B21" s="1" t="s">
        <x:v>269</x:v>
      </x:c>
      <x:c r="C21" s="2" t="s">
        <x:v>270</x:v>
      </x:c>
      <x:c r="D21" s="6">
        <x:v>6.2</x:v>
      </x:c>
      <x:c r="E21" s="6">
        <x:v>8.49</x:v>
      </x:c>
    </x:row>
    <x:row r="22">
      <x:c r="A22" s="2" t="s">
        <x:v>271</x:v>
      </x:c>
      <x:c r="B22" s="1" t="s">
        <x:v>272</x:v>
      </x:c>
      <x:c r="C22" s="2" t="s">
        <x:v>273</x:v>
      </x:c>
      <x:c r="D22" s="6">
        <x:v>3.25</x:v>
      </x:c>
      <x:c r="E22" s="6">
        <x:v>4.79</x:v>
      </x:c>
    </x:row>
    <x:row r="23">
      <x:c r="A23" s="2" t="s">
        <x:v>274</x:v>
      </x:c>
      <x:c r="B23" s="1" t="s">
        <x:v>275</x:v>
      </x:c>
      <x:c r="C23" s="2" t="s">
        <x:v>273</x:v>
      </x:c>
      <x:c r="D23" s="6">
        <x:v>2.1</x:v>
      </x:c>
      <x:c r="E23" s="6">
        <x:v>3.29</x:v>
      </x:c>
    </x:row>
    <x:row r="24">
      <x:c r="A24" s="2" t="s">
        <x:v>276</x:v>
      </x:c>
      <x:c r="B24" s="1" t="s">
        <x:v>277</x:v>
      </x:c>
      <x:c r="C24" s="2" t="s">
        <x:v>278</x:v>
      </x:c>
      <x:c r="D24" s="6">
        <x:v>8.4</x:v>
      </x:c>
      <x:c r="E24" s="6">
        <x:v>11.9</x:v>
      </x:c>
    </x:row>
    <x:row r="25">
      <x:c r="A25" s="2" t="s">
        <x:v>279</x:v>
      </x:c>
      <x:c r="B25" s="1" t="s">
        <x:v>280</x:v>
      </x:c>
      <x:c r="C25" s="2" t="s">
        <x:v>246</x:v>
      </x:c>
      <x:c r="D25" s="6">
        <x:v>6.9</x:v>
      </x:c>
      <x:c r="E25" s="6">
        <x:v>9.49</x:v>
      </x:c>
    </x:row>
    <x:row r="26">
      <x:c r="A26" s="2" t="s">
        <x:v>281</x:v>
      </x:c>
      <x:c r="B26" s="1" t="s">
        <x:v>282</x:v>
      </x:c>
      <x:c r="C26" s="2" t="s">
        <x:v>246</x:v>
      </x:c>
      <x:c r="D26" s="6">
        <x:v>8.5</x:v>
      </x:c>
      <x:c r="E26" s="6">
        <x:v>11.49</x:v>
      </x:c>
    </x:row>
    <x:row r="27">
      <x:c r="A27" s="2" t="s">
        <x:v>283</x:v>
      </x:c>
      <x:c r="B27" s="1" t="s">
        <x:v>284</x:v>
      </x:c>
      <x:c r="C27" s="2" t="s">
        <x:v>246</x:v>
      </x:c>
      <x:c r="D27" s="6">
        <x:v>6.75</x:v>
      </x:c>
      <x:c r="E27" s="6">
        <x:v>9.49</x:v>
      </x:c>
    </x:row>
    <x:row r="28">
      <x:c r="A28" s="2" t="s">
        <x:v>285</x:v>
      </x:c>
      <x:c r="B28" s="1" t="s">
        <x:v>286</x:v>
      </x:c>
      <x:c r="C28" s="2" t="s">
        <x:v>246</x:v>
      </x:c>
      <x:c r="D28" s="6">
        <x:v>1.8</x:v>
      </x:c>
      <x:c r="E28" s="6">
        <x:v>2.79</x:v>
      </x:c>
    </x:row>
    <x:row r="29">
      <x:c r="A29" s="2" t="s">
        <x:v>287</x:v>
      </x:c>
      <x:c r="B29" s="1" t="s">
        <x:v>288</x:v>
      </x:c>
      <x:c r="C29" s="2" t="s">
        <x:v>246</x:v>
      </x:c>
      <x:c r="D29" s="6">
        <x:v>2.85</x:v>
      </x:c>
      <x:c r="E29" s="6">
        <x:v>4.29</x:v>
      </x:c>
    </x:row>
    <x:row r="30">
      <x:c r="A30" s="2" t="s">
        <x:v>289</x:v>
      </x:c>
      <x:c r="B30" s="1" t="s">
        <x:v>290</x:v>
      </x:c>
      <x:c r="C30" s="2" t="s">
        <x:v>291</x:v>
      </x:c>
      <x:c r="D30" s="6">
        <x:v>1.75</x:v>
      </x:c>
      <x:c r="E30" s="6">
        <x:v>2.69</x:v>
      </x:c>
    </x:row>
    <x:row r="31">
      <x:c r="A31" s="2" t="s">
        <x:v>292</x:v>
      </x:c>
      <x:c r="B31" s="1" t="s">
        <x:v>293</x:v>
      </x:c>
      <x:c r="C31" s="2" t="s">
        <x:v>291</x:v>
      </x:c>
      <x:c r="D31" s="6">
        <x:v>13.9</x:v>
      </x:c>
      <x:c r="E31" s="6">
        <x:v>18.899999999999999</x:v>
      </x:c>
    </x:row>
    <x:row r="32">
      <x:c r="A32" s="2" t="s">
        <x:v>294</x:v>
      </x:c>
      <x:c r="B32" s="1" t="s">
        <x:v>295</x:v>
      </x:c>
      <x:c r="C32" s="2" t="s">
        <x:v>291</x:v>
      </x:c>
      <x:c r="D32" s="6">
        <x:v>7.8</x:v>
      </x:c>
      <x:c r="E32" s="6">
        <x:v>10.49</x:v>
      </x:c>
    </x:row>
    <x:row r="33">
      <x:c r="A33" s="2" t="s">
        <x:v>296</x:v>
      </x:c>
      <x:c r="B33" s="1" t="s">
        <x:v>297</x:v>
      </x:c>
      <x:c r="C33" s="2" t="s">
        <x:v>291</x:v>
      </x:c>
      <x:c r="D33" s="6">
        <x:v>4.25</x:v>
      </x:c>
      <x:c r="E33" s="6">
        <x:v>5.99</x:v>
      </x:c>
    </x:row>
    <x:row r="34">
      <x:c r="A34" s="2" t="s">
        <x:v>298</x:v>
      </x:c>
      <x:c r="B34" s="1" t="s">
        <x:v>299</x:v>
      </x:c>
      <x:c r="C34" s="2" t="s">
        <x:v>291</x:v>
      </x:c>
      <x:c r="D34" s="6">
        <x:v>5.6</x:v>
      </x:c>
      <x:c r="E34" s="6">
        <x:v>7.49</x:v>
      </x:c>
    </x:row>
    <x:row r="35">
      <x:c r="A35" s="2" t="s">
        <x:v>300</x:v>
      </x:c>
      <x:c r="B35" s="1" t="s">
        <x:v>301</x:v>
      </x:c>
      <x:c r="C35" s="2" t="s">
        <x:v>291</x:v>
      </x:c>
      <x:c r="D35" s="6">
        <x:v>2.15</x:v>
      </x:c>
      <x:c r="E35" s="6">
        <x:v>3.49</x:v>
      </x:c>
    </x:row>
    <x:row r="36">
      <x:c r="A36" s="2" t="s">
        <x:v>302</x:v>
      </x:c>
      <x:c r="B36" s="1" t="s">
        <x:v>303</x:v>
      </x:c>
      <x:c r="C36" s="2" t="s">
        <x:v>304</x:v>
      </x:c>
      <x:c r="D36" s="6">
        <x:v>15.5</x:v>
      </x:c>
      <x:c r="E36" s="6">
        <x:v>20.9</x:v>
      </x:c>
    </x:row>
    <x:row r="37">
      <x:c r="A37" s="2" t="s">
        <x:v>305</x:v>
      </x:c>
      <x:c r="B37" s="1" t="s">
        <x:v>306</x:v>
      </x:c>
      <x:c r="C37" s="2" t="s">
        <x:v>304</x:v>
      </x:c>
      <x:c r="D37" s="6">
        <x:v>1.85</x:v>
      </x:c>
      <x:c r="E37" s="6">
        <x:v>2.99</x:v>
      </x:c>
    </x:row>
    <x:row r="38">
      <x:c r="A38" s="2" t="s">
        <x:v>307</x:v>
      </x:c>
      <x:c r="B38" s="1" t="s">
        <x:v>308</x:v>
      </x:c>
      <x:c r="C38" s="2" t="s">
        <x:v>304</x:v>
      </x:c>
      <x:c r="D38" s="6">
        <x:v>8.9</x:v>
      </x:c>
      <x:c r="E38" s="6">
        <x:v>12.49</x:v>
      </x:c>
    </x:row>
    <x:row r="39">
      <x:c r="A39" s="2" t="s">
        <x:v>309</x:v>
      </x:c>
      <x:c r="B39" s="1" t="s">
        <x:v>310</x:v>
      </x:c>
      <x:c r="C39" s="2" t="s">
        <x:v>304</x:v>
      </x:c>
      <x:c r="D39" s="6">
        <x:v>9.1999999999999993</x:v>
      </x:c>
      <x:c r="E39" s="6">
        <x:v>12.9</x:v>
      </x:c>
    </x:row>
    <x:row r="40">
      <x:c r="A40" s="2" t="s">
        <x:v>311</x:v>
      </x:c>
      <x:c r="B40" s="1" t="s">
        <x:v>312</x:v>
      </x:c>
      <x:c r="C40" s="2" t="s">
        <x:v>304</x:v>
      </x:c>
      <x:c r="D40" s="6">
        <x:v>3.65</x:v>
      </x:c>
      <x:c r="E40" s="6">
        <x:v>5.29</x:v>
      </x:c>
    </x:row>
    <x:row r="41">
      <x:c r="A41" s="2" t="s">
        <x:v>313</x:v>
      </x:c>
      <x:c r="B41" s="1" t="s">
        <x:v>314</x:v>
      </x:c>
      <x:c r="C41" s="2" t="s">
        <x:v>304</x:v>
      </x:c>
      <x:c r="D41" s="6">
        <x:v>8.4</x:v>
      </x:c>
      <x:c r="E41" s="6">
        <x:v>11.9</x:v>
      </x:c>
    </x:row>
    <x:row r="42">
      <x:c r="A42" s="2" t="s">
        <x:v>315</x:v>
      </x:c>
      <x:c r="B42" s="1" t="s">
        <x:v>316</x:v>
      </x:c>
      <x:c r="C42" s="2" t="s">
        <x:v>317</x:v>
      </x:c>
      <x:c r="D42" s="6">
        <x:v>22.5</x:v>
      </x:c>
      <x:c r="E42" s="6">
        <x:v>29.9</x:v>
      </x:c>
    </x:row>
    <x:row r="43">
      <x:c r="A43" s="2" t="s">
        <x:v>318</x:v>
      </x:c>
      <x:c r="B43" s="1" t="s">
        <x:v>319</x:v>
      </x:c>
      <x:c r="C43" s="2" t="s">
        <x:v>304</x:v>
      </x:c>
      <x:c r="D43" s="6">
        <x:v>3.8</x:v>
      </x:c>
      <x:c r="E43" s="6">
        <x:v>5.49</x:v>
      </x:c>
    </x:row>
    <x:row r="44">
      <x:c r="A44" s="2" t="s">
        <x:v>320</x:v>
      </x:c>
      <x:c r="B44" s="1" t="s">
        <x:v>321</x:v>
      </x:c>
      <x:c r="C44" s="2" t="s">
        <x:v>267</x:v>
      </x:c>
      <x:c r="D44" s="6">
        <x:v>4.2</x:v>
      </x:c>
      <x:c r="E44" s="6">
        <x:v>6.49</x:v>
      </x:c>
    </x:row>
    <x:row r="45">
      <x:c r="A45" s="2" t="s">
        <x:v>322</x:v>
      </x:c>
      <x:c r="B45" s="1" t="s">
        <x:v>323</x:v>
      </x:c>
      <x:c r="C45" s="2" t="s">
        <x:v>267</x:v>
      </x:c>
      <x:c r="D45" s="6">
        <x:v>7.9</x:v>
      </x:c>
      <x:c r="E45" s="6">
        <x:v>10.9</x:v>
      </x:c>
    </x:row>
    <x:row r="46">
      <x:c r="A46" s="2" t="s">
        <x:v>324</x:v>
      </x:c>
      <x:c r="B46" s="1" t="s">
        <x:v>325</x:v>
      </x:c>
      <x:c r="C46" s="2" t="s">
        <x:v>267</x:v>
      </x:c>
      <x:c r="D46" s="6">
        <x:v>5.25</x:v>
      </x:c>
      <x:c r="E46" s="6">
        <x:v>7.99</x:v>
      </x:c>
    </x:row>
    <x:row r="47">
      <x:c r="A47" s="2" t="s">
        <x:v>326</x:v>
      </x:c>
      <x:c r="B47" s="1" t="s">
        <x:v>327</x:v>
      </x:c>
      <x:c r="C47" s="2" t="s">
        <x:v>267</x:v>
      </x:c>
      <x:c r="D47" s="6">
        <x:v>4.0999999999999996</x:v>
      </x:c>
      <x:c r="E47" s="6">
        <x:v>6.29</x:v>
      </x:c>
    </x:row>
    <x:row r="48">
      <x:c r="A48" s="2" t="s">
        <x:v>328</x:v>
      </x:c>
      <x:c r="B48" s="1" t="s">
        <x:v>329</x:v>
      </x:c>
      <x:c r="C48" s="2" t="s">
        <x:v>267</x:v>
      </x:c>
      <x:c r="D48" s="6">
        <x:v>3.85</x:v>
      </x:c>
      <x:c r="E48" s="6">
        <x:v>5.99</x:v>
      </x:c>
    </x:row>
    <x:row r="49">
      <x:c r="A49" s="2" t="s">
        <x:v>330</x:v>
      </x:c>
      <x:c r="B49" s="1" t="s">
        <x:v>331</x:v>
      </x:c>
      <x:c r="C49" s="2" t="s">
        <x:v>332</x:v>
      </x:c>
      <x:c r="D49" s="6">
        <x:v>12.9</x:v>
      </x:c>
      <x:c r="E49" s="6">
        <x:v>17.899999999999999</x:v>
      </x:c>
    </x:row>
    <x:row r="50">
      <x:c r="A50" s="2" t="s">
        <x:v>333</x:v>
      </x:c>
      <x:c r="B50" s="1" t="s">
        <x:v>334</x:v>
      </x:c>
      <x:c r="C50" s="2" t="s">
        <x:v>332</x:v>
      </x:c>
      <x:c r="D50" s="6">
        <x:v>24.5</x:v>
      </x:c>
      <x:c r="E50" s="6">
        <x:v>32.9</x:v>
      </x:c>
    </x:row>
    <x:row r="51">
      <x:c r="A51" s="2" t="s">
        <x:v>335</x:v>
      </x:c>
      <x:c r="B51" s="1" t="s">
        <x:v>336</x:v>
      </x:c>
      <x:c r="C51" s="2" t="s">
        <x:v>337</x:v>
      </x:c>
      <x:c r="D51" s="6">
        <x:v>11.8</x:v>
      </x:c>
      <x:c r="E51" s="6">
        <x:v>16.489999999999998</x:v>
      </x:c>
    </x:row>
  </x:sheetData>
  <x:pageMargins left="0.7" right="0.7" top="0.75" bottom="0.75" header="0.3" footer="0.3"/>
  <x:tableParts count="1">
    <x:tablePart xmlns:r="http://schemas.openxmlformats.org/officeDocument/2006/relationships" r:id="R8155c03a954d493a"/>
  </x:tableParts>
</x:worksheet>
</file>

<file path=xl/worksheets/sheet3.xml><?xml version="1.0" encoding="utf-8"?>
<x:worksheet xmlns:x="http://schemas.openxmlformats.org/spreadsheetml/2006/main">
  <x:sheetFormatPr defaultRowHeight="14.399999618530273"/>
  <x:cols>
    <x:col min="1" max="3" width="17" customWidth="1"/>
    <x:col min="4" max="4" width="26.88671875" customWidth="1"/>
    <x:col min="5" max="5" width="15.77734375" customWidth="1"/>
    <x:col min="6" max="6" width="23.109375" customWidth="1"/>
    <x:col min="7" max="7" width="19.44140625" customWidth="1"/>
  </x:cols>
  <x:sheetData>
    <x:row r="1">
      <x:c r="A1" s="2" t="s">
        <x:v>338</x:v>
      </x:c>
      <x:c r="B1" s="1" t="str">
        <x:v>ID do Cliente</x:v>
      </x:c>
      <x:c r="C1" s="1" t="s">
        <x:v>339</x:v>
      </x:c>
      <x:c r="D1" s="1" t="s">
        <x:v>340</x:v>
      </x:c>
      <x:c r="E1" s="1" t="s">
        <x:v>341</x:v>
      </x:c>
      <x:c r="F1" s="1" t="s">
        <x:v>342</x:v>
      </x:c>
      <x:c r="G1" s="1" t="s">
        <x:v>343</x:v>
      </x:c>
    </x:row>
    <x:row r="2">
      <x:c r="A2" s="2" t="s">
        <x:v>344</x:v>
      </x:c>
      <x:c r="B2" s="14" t="n">
        <x:v>1</x:v>
      </x:c>
      <x:c r="C2" s="2" t="s">
        <x:v>223</x:v>
      </x:c>
      <x:c r="D2" s="4">
        <x:v>3</x:v>
      </x:c>
      <x:c r="E2" s="3">
        <x:v>45891</x:v>
      </x:c>
      <x:c r="F2" s="1" t="s">
        <x:v>345</x:v>
      </x:c>
      <x:c r="G2" s="6" t="n">
        <x:f>_xlfn.XLOOKUP(HistoricoCompras[[#This Row],[ID do Produto]],ProdutosCadastro[ID Produto],ProdutosCadastro[Preço de Venda])*HistoricoCompras[[#This Row],[Qtde de Produtos Comprados]]</x:f>
        <x:v>89.69999999999999</x:v>
      </x:c>
    </x:row>
    <x:row r="3">
      <x:c r="A3" s="2" t="s">
        <x:v>346</x:v>
      </x:c>
      <x:c r="B3" s="14" t="n">
        <x:v>17</x:v>
      </x:c>
      <x:c r="C3" s="2" t="s">
        <x:v>330</x:v>
      </x:c>
      <x:c r="D3" s="4">
        <x:v>4</x:v>
      </x:c>
      <x:c r="E3" s="3">
        <x:v>45891</x:v>
      </x:c>
      <x:c r="F3" s="1" t="s">
        <x:v>347</x:v>
      </x:c>
      <x:c r="G3" s="6" t="n">
        <x:f>_xlfn.XLOOKUP(HistoricoCompras[[#This Row],[ID do Produto]],ProdutosCadastro[ID Produto],ProdutosCadastro[Preço de Venda])*HistoricoCompras[[#This Row],[Qtde de Produtos Comprados]]</x:f>
        <x:v>71.6</x:v>
      </x:c>
    </x:row>
    <x:row r="4">
      <x:c r="A4" s="2" t="s">
        <x:v>348</x:v>
      </x:c>
      <x:c r="B4" s="14" t="n">
        <x:v>29</x:v>
      </x:c>
      <x:c r="C4" s="2" t="s">
        <x:v>335</x:v>
      </x:c>
      <x:c r="D4" s="4">
        <x:v>4</x:v>
      </x:c>
      <x:c r="E4" s="3">
        <x:v>45892</x:v>
      </x:c>
      <x:c r="F4" s="1" t="s">
        <x:v>349</x:v>
      </x:c>
      <x:c r="G4" s="6" t="n">
        <x:f>_xlfn.XLOOKUP(HistoricoCompras[[#This Row],[ID do Produto]],ProdutosCadastro[ID Produto],ProdutosCadastro[Preço de Venda])*HistoricoCompras[[#This Row],[Qtde de Produtos Comprados]]</x:f>
        <x:v>65.96</x:v>
      </x:c>
    </x:row>
    <x:row r="5">
      <x:c r="A5" s="2" t="s">
        <x:v>350</x:v>
      </x:c>
      <x:c r="B5" s="14" t="n">
        <x:v>7</x:v>
      </x:c>
      <x:c r="C5" s="2" t="s">
        <x:v>335</x:v>
      </x:c>
      <x:c r="D5" s="4">
        <x:v>6</x:v>
      </x:c>
      <x:c r="E5" s="3">
        <x:v>45894</x:v>
      </x:c>
      <x:c r="F5" s="1" t="s">
        <x:v>351</x:v>
      </x:c>
      <x:c r="G5" s="6" t="n">
        <x:f>_xlfn.XLOOKUP(HistoricoCompras[[#This Row],[ID do Produto]],ProdutosCadastro[ID Produto],ProdutosCadastro[Preço de Venda])*HistoricoCompras[[#This Row],[Qtde de Produtos Comprados]]</x:f>
        <x:v>98.94</x:v>
      </x:c>
    </x:row>
    <x:row r="6">
      <x:c r="A6" s="2" t="s">
        <x:v>352</x:v>
      </x:c>
      <x:c r="B6" s="14" t="n">
        <x:v>12</x:v>
      </x:c>
      <x:c r="C6" s="2" t="s">
        <x:v>311</x:v>
      </x:c>
      <x:c r="D6" s="4">
        <x:v>1</x:v>
      </x:c>
      <x:c r="E6" s="3">
        <x:v>45902</x:v>
      </x:c>
      <x:c r="F6" s="1" t="s">
        <x:v>353</x:v>
      </x:c>
      <x:c r="G6" s="6" t="n">
        <x:f>_xlfn.XLOOKUP(HistoricoCompras[[#This Row],[ID do Produto]],ProdutosCadastro[ID Produto],ProdutosCadastro[Preço de Venda])*HistoricoCompras[[#This Row],[Qtde de Produtos Comprados]]</x:f>
        <x:v>5.29</x:v>
      </x:c>
    </x:row>
    <x:row r="7">
      <x:c r="A7" s="2" t="s">
        <x:v>354</x:v>
      </x:c>
      <x:c r="B7" s="14" t="n">
        <x:v>1</x:v>
      </x:c>
      <x:c r="C7" s="2" t="s">
        <x:v>279</x:v>
      </x:c>
      <x:c r="D7" s="4">
        <x:v>6</x:v>
      </x:c>
      <x:c r="E7" s="3">
        <x:v>45902</x:v>
      </x:c>
      <x:c r="F7" s="1" t="s">
        <x:v>351</x:v>
      </x:c>
      <x:c r="G7" s="6" t="n">
        <x:f>_xlfn.XLOOKUP(HistoricoCompras[[#This Row],[ID do Produto]],ProdutosCadastro[ID Produto],ProdutosCadastro[Preço de Venda])*HistoricoCompras[[#This Row],[Qtde de Produtos Comprados]]</x:f>
        <x:v>56.94</x:v>
      </x:c>
    </x:row>
    <x:row r="8">
      <x:c r="A8" s="2" t="s">
        <x:v>355</x:v>
      </x:c>
      <x:c r="B8" s="14" t="n">
        <x:v>2</x:v>
      </x:c>
      <x:c r="C8" s="2" t="s">
        <x:v>265</x:v>
      </x:c>
      <x:c r="D8" s="4">
        <x:v>2</x:v>
      </x:c>
      <x:c r="E8" s="3">
        <x:v>45904</x:v>
      </x:c>
      <x:c r="F8" s="1" t="s">
        <x:v>345</x:v>
      </x:c>
      <x:c r="G8" s="6" t="n">
        <x:f>_xlfn.XLOOKUP(HistoricoCompras[[#This Row],[ID do Produto]],ProdutosCadastro[ID Produto],ProdutosCadastro[Preço de Venda])*HistoricoCompras[[#This Row],[Qtde de Produtos Comprados]]</x:f>
        <x:v>21.8</x:v>
      </x:c>
    </x:row>
    <x:row r="9">
      <x:c r="A9" s="2" t="s">
        <x:v>356</x:v>
      </x:c>
      <x:c r="B9" s="14" t="n">
        <x:v>15</x:v>
      </x:c>
      <x:c r="C9" s="2" t="s">
        <x:v>265</x:v>
      </x:c>
      <x:c r="D9" s="4">
        <x:v>6</x:v>
      </x:c>
      <x:c r="E9" s="3">
        <x:v>45906</x:v>
      </x:c>
      <x:c r="F9" s="1" t="s">
        <x:v>347</x:v>
      </x:c>
      <x:c r="G9" s="6" t="n">
        <x:f>_xlfn.XLOOKUP(HistoricoCompras[[#This Row],[ID do Produto]],ProdutosCadastro[ID Produto],ProdutosCadastro[Preço de Venda])*HistoricoCompras[[#This Row],[Qtde de Produtos Comprados]]</x:f>
        <x:v>65.4</x:v>
      </x:c>
    </x:row>
    <x:row r="10">
      <x:c r="A10" s="2" t="s">
        <x:v>357</x:v>
      </x:c>
      <x:c r="B10" s="14" t="n">
        <x:v>4</x:v>
      </x:c>
      <x:c r="C10" s="2" t="s">
        <x:v>268</x:v>
      </x:c>
      <x:c r="D10" s="4">
        <x:v>1</x:v>
      </x:c>
      <x:c r="E10" s="3">
        <x:v>45911</x:v>
      </x:c>
      <x:c r="F10" s="1" t="s">
        <x:v>353</x:v>
      </x:c>
      <x:c r="G10" s="6" t="n">
        <x:f>_xlfn.XLOOKUP(HistoricoCompras[[#This Row],[ID do Produto]],ProdutosCadastro[ID Produto],ProdutosCadastro[Preço de Venda])*HistoricoCompras[[#This Row],[Qtde de Produtos Comprados]]</x:f>
        <x:v>8.49</x:v>
      </x:c>
    </x:row>
    <x:row r="11">
      <x:c r="A11" s="2" t="s">
        <x:v>358</x:v>
      </x:c>
      <x:c r="B11" s="14" t="n">
        <x:v>4</x:v>
      </x:c>
      <x:c r="C11" s="2" t="s">
        <x:v>287</x:v>
      </x:c>
      <x:c r="D11" s="4">
        <x:v>8</x:v>
      </x:c>
      <x:c r="E11" s="3">
        <x:v>45927</x:v>
      </x:c>
      <x:c r="F11" s="1" t="s">
        <x:v>351</x:v>
      </x:c>
      <x:c r="G11" s="6" t="n">
        <x:f>_xlfn.XLOOKUP(HistoricoCompras[[#This Row],[ID do Produto]],ProdutosCadastro[ID Produto],ProdutosCadastro[Preço de Venda])*HistoricoCompras[[#This Row],[Qtde de Produtos Comprados]]</x:f>
        <x:v>34.32</x:v>
      </x:c>
    </x:row>
    <x:row r="12">
      <x:c r="A12" s="2" t="s">
        <x:v>359</x:v>
      </x:c>
      <x:c r="B12" s="14" t="n">
        <x:v>8</x:v>
      </x:c>
      <x:c r="C12" s="2" t="s">
        <x:v>254</x:v>
      </x:c>
      <x:c r="D12" s="4">
        <x:v>8</x:v>
      </x:c>
      <x:c r="E12" s="3">
        <x:v>45931</x:v>
      </x:c>
      <x:c r="F12" s="1" t="s">
        <x:v>351</x:v>
      </x:c>
      <x:c r="G12" s="6" t="n">
        <x:f>_xlfn.XLOOKUP(HistoricoCompras[[#This Row],[ID do Produto]],ProdutosCadastro[ID Produto],ProdutosCadastro[Preço de Venda])*HistoricoCompras[[#This Row],[Qtde de Produtos Comprados]]</x:f>
        <x:v>59.92</x:v>
      </x:c>
    </x:row>
    <x:row r="13">
      <x:c r="A13" s="2" t="s">
        <x:v>360</x:v>
      </x:c>
      <x:c r="B13" s="14" t="n">
        <x:v>20</x:v>
      </x:c>
      <x:c r="C13" s="2" t="s">
        <x:v>328</x:v>
      </x:c>
      <x:c r="D13" s="4">
        <x:v>2</x:v>
      </x:c>
      <x:c r="E13" s="3">
        <x:v>45931</x:v>
      </x:c>
      <x:c r="F13" s="1" t="s">
        <x:v>353</x:v>
      </x:c>
      <x:c r="G13" s="6" t="n">
        <x:f>_xlfn.XLOOKUP(HistoricoCompras[[#This Row],[ID do Produto]],ProdutosCadastro[ID Produto],ProdutosCadastro[Preço de Venda])*HistoricoCompras[[#This Row],[Qtde de Produtos Comprados]]</x:f>
        <x:v>11.98</x:v>
      </x:c>
    </x:row>
    <x:row r="14">
      <x:c r="A14" s="2" t="s">
        <x:v>361</x:v>
      </x:c>
      <x:c r="B14" s="14" t="n">
        <x:v>21</x:v>
      </x:c>
      <x:c r="C14" s="2" t="s">
        <x:v>324</x:v>
      </x:c>
      <x:c r="D14" s="4">
        <x:v>6</x:v>
      </x:c>
      <x:c r="E14" s="3">
        <x:v>45932</x:v>
      </x:c>
      <x:c r="F14" s="1" t="s">
        <x:v>347</x:v>
      </x:c>
      <x:c r="G14" s="6" t="n">
        <x:f>_xlfn.XLOOKUP(HistoricoCompras[[#This Row],[ID do Produto]],ProdutosCadastro[ID Produto],ProdutosCadastro[Preço de Venda])*HistoricoCompras[[#This Row],[Qtde de Produtos Comprados]]</x:f>
        <x:v>47.94</x:v>
      </x:c>
    </x:row>
    <x:row r="15">
      <x:c r="A15" s="2" t="s">
        <x:v>362</x:v>
      </x:c>
      <x:c r="B15" s="14" t="n">
        <x:v>21</x:v>
      </x:c>
      <x:c r="C15" s="2" t="s">
        <x:v>294</x:v>
      </x:c>
      <x:c r="D15" s="4">
        <x:v>4</x:v>
      </x:c>
      <x:c r="E15" s="3">
        <x:v>45937</x:v>
      </x:c>
      <x:c r="F15" s="1" t="s">
        <x:v>349</x:v>
      </x:c>
      <x:c r="G15" s="6" t="n">
        <x:f>_xlfn.XLOOKUP(HistoricoCompras[[#This Row],[ID do Produto]],ProdutosCadastro[ID Produto],ProdutosCadastro[Preço de Venda])*HistoricoCompras[[#This Row],[Qtde de Produtos Comprados]]</x:f>
        <x:v>41.96</x:v>
      </x:c>
    </x:row>
    <x:row r="16">
      <x:c r="A16" s="2" t="s">
        <x:v>363</x:v>
      </x:c>
      <x:c r="B16" s="14" t="n">
        <x:v>16</x:v>
      </x:c>
      <x:c r="C16" s="2" t="s">
        <x:v>335</x:v>
      </x:c>
      <x:c r="D16" s="4">
        <x:v>8</x:v>
      </x:c>
      <x:c r="E16" s="3">
        <x:v>45937</x:v>
      </x:c>
      <x:c r="F16" s="1" t="s">
        <x:v>353</x:v>
      </x:c>
      <x:c r="G16" s="6" t="n">
        <x:f>_xlfn.XLOOKUP(HistoricoCompras[[#This Row],[ID do Produto]],ProdutosCadastro[ID Produto],ProdutosCadastro[Preço de Venda])*HistoricoCompras[[#This Row],[Qtde de Produtos Comprados]]</x:f>
        <x:v>131.92</x:v>
      </x:c>
    </x:row>
    <x:row r="17">
      <x:c r="A17" s="2" t="s">
        <x:v>364</x:v>
      </x:c>
      <x:c r="B17" s="14" t="n">
        <x:v>18</x:v>
      </x:c>
      <x:c r="C17" s="2" t="s">
        <x:v>320</x:v>
      </x:c>
      <x:c r="D17" s="4">
        <x:v>8</x:v>
      </x:c>
      <x:c r="E17" s="3">
        <x:v>45941</x:v>
      </x:c>
      <x:c r="F17" s="1" t="s">
        <x:v>353</x:v>
      </x:c>
      <x:c r="G17" s="6" t="n">
        <x:f>_xlfn.XLOOKUP(HistoricoCompras[[#This Row],[ID do Produto]],ProdutosCadastro[ID Produto],ProdutosCadastro[Preço de Venda])*HistoricoCompras[[#This Row],[Qtde de Produtos Comprados]]</x:f>
        <x:v>51.92</x:v>
      </x:c>
    </x:row>
    <x:row r="18">
      <x:c r="A18" s="2" t="s">
        <x:v>365</x:v>
      </x:c>
      <x:c r="B18" s="14" t="n">
        <x:v>15</x:v>
      </x:c>
      <x:c r="C18" s="2" t="s">
        <x:v>252</x:v>
      </x:c>
      <x:c r="D18" s="4">
        <x:v>3</x:v>
      </x:c>
      <x:c r="E18" s="3">
        <x:v>45947</x:v>
      </x:c>
      <x:c r="F18" s="1" t="s">
        <x:v>349</x:v>
      </x:c>
      <x:c r="G18" s="6" t="n">
        <x:f>_xlfn.XLOOKUP(HistoricoCompras[[#This Row],[ID do Produto]],ProdutosCadastro[ID Produto],ProdutosCadastro[Preço de Venda])*HistoricoCompras[[#This Row],[Qtde de Produtos Comprados]]</x:f>
        <x:v>35.97</x:v>
      </x:c>
    </x:row>
    <x:row r="19">
      <x:c r="A19" s="2" t="s">
        <x:v>366</x:v>
      </x:c>
      <x:c r="B19" s="14" t="n">
        <x:v>22</x:v>
      </x:c>
      <x:c r="C19" s="2" t="s">
        <x:v>263</x:v>
      </x:c>
      <x:c r="D19" s="4">
        <x:v>1</x:v>
      </x:c>
      <x:c r="E19" s="3">
        <x:v>45947</x:v>
      </x:c>
      <x:c r="F19" s="1" t="s">
        <x:v>345</x:v>
      </x:c>
      <x:c r="G19" s="6" t="n">
        <x:f>_xlfn.XLOOKUP(HistoricoCompras[[#This Row],[ID do Produto]],ProdutosCadastro[ID Produto],ProdutosCadastro[Preço de Venda])*HistoricoCompras[[#This Row],[Qtde de Produtos Comprados]]</x:f>
        <x:v>9.29</x:v>
      </x:c>
    </x:row>
    <x:row r="20">
      <x:c r="A20" s="2" t="s">
        <x:v>367</x:v>
      </x:c>
      <x:c r="B20" s="14" t="n">
        <x:v>25</x:v>
      </x:c>
      <x:c r="C20" s="2" t="s">
        <x:v>281</x:v>
      </x:c>
      <x:c r="D20" s="4">
        <x:v>3</x:v>
      </x:c>
      <x:c r="E20" s="3">
        <x:v>45952</x:v>
      </x:c>
      <x:c r="F20" s="1" t="s">
        <x:v>345</x:v>
      </x:c>
      <x:c r="G20" s="6" t="n">
        <x:f>_xlfn.XLOOKUP(HistoricoCompras[[#This Row],[ID do Produto]],ProdutosCadastro[ID Produto],ProdutosCadastro[Preço de Venda])*HistoricoCompras[[#This Row],[Qtde de Produtos Comprados]]</x:f>
        <x:v>34.47</x:v>
      </x:c>
    </x:row>
    <x:row r="21">
      <x:c r="A21" s="2" t="s">
        <x:v>368</x:v>
      </x:c>
      <x:c r="B21" s="14" t="n">
        <x:v>14</x:v>
      </x:c>
      <x:c r="C21" s="2" t="s">
        <x:v>244</x:v>
      </x:c>
      <x:c r="D21" s="4">
        <x:v>8</x:v>
      </x:c>
      <x:c r="E21" s="3">
        <x:v>45952</x:v>
      </x:c>
      <x:c r="F21" s="1" t="s">
        <x:v>353</x:v>
      </x:c>
      <x:c r="G21" s="6" t="n">
        <x:f>_xlfn.XLOOKUP(HistoricoCompras[[#This Row],[ID do Produto]],ProdutosCadastro[ID Produto],ProdutosCadastro[Preço de Venda])*HistoricoCompras[[#This Row],[Qtde de Produtos Comprados]]</x:f>
        <x:v>175.2</x:v>
      </x:c>
    </x:row>
    <x:row r="22">
      <x:c r="A22" s="2" t="s">
        <x:v>369</x:v>
      </x:c>
      <x:c r="B22" s="14" t="n">
        <x:v>12</x:v>
      </x:c>
      <x:c r="C22" s="2" t="s">
        <x:v>281</x:v>
      </x:c>
      <x:c r="D22" s="4">
        <x:v>7</x:v>
      </x:c>
      <x:c r="E22" s="3">
        <x:v>45956</x:v>
      </x:c>
      <x:c r="F22" s="1" t="s">
        <x:v>351</x:v>
      </x:c>
      <x:c r="G22" s="6" t="n">
        <x:f>_xlfn.XLOOKUP(HistoricoCompras[[#This Row],[ID do Produto]],ProdutosCadastro[ID Produto],ProdutosCadastro[Preço de Venda])*HistoricoCompras[[#This Row],[Qtde de Produtos Comprados]]</x:f>
        <x:v>80.43</x:v>
      </x:c>
    </x:row>
    <x:row r="23">
      <x:c r="A23" s="2" t="s">
        <x:v>370</x:v>
      </x:c>
      <x:c r="B23" s="14" t="n">
        <x:v>9</x:v>
      </x:c>
      <x:c r="C23" s="2" t="s">
        <x:v>223</x:v>
      </x:c>
      <x:c r="D23" s="4">
        <x:v>5</x:v>
      </x:c>
      <x:c r="E23" s="3">
        <x:v>45961</x:v>
      </x:c>
      <x:c r="F23" s="1" t="s">
        <x:v>349</x:v>
      </x:c>
      <x:c r="G23" s="6" t="n">
        <x:f>_xlfn.XLOOKUP(HistoricoCompras[[#This Row],[ID do Produto]],ProdutosCadastro[ID Produto],ProdutosCadastro[Preço de Venda])*HistoricoCompras[[#This Row],[Qtde de Produtos Comprados]]</x:f>
        <x:v>149.5</x:v>
      </x:c>
    </x:row>
    <x:row r="24">
      <x:c r="A24" s="2" t="s">
        <x:v>371</x:v>
      </x:c>
      <x:c r="B24" s="14" t="n">
        <x:v>20</x:v>
      </x:c>
      <x:c r="C24" s="2" t="s">
        <x:v>305</x:v>
      </x:c>
      <x:c r="D24" s="4">
        <x:v>8</x:v>
      </x:c>
      <x:c r="E24" s="3">
        <x:v>45964</x:v>
      </x:c>
      <x:c r="F24" s="1" t="s">
        <x:v>353</x:v>
      </x:c>
      <x:c r="G24" s="6" t="n">
        <x:f>_xlfn.XLOOKUP(HistoricoCompras[[#This Row],[ID do Produto]],ProdutosCadastro[ID Produto],ProdutosCadastro[Preço de Venda])*HistoricoCompras[[#This Row],[Qtde de Produtos Comprados]]</x:f>
        <x:v>23.92</x:v>
      </x:c>
    </x:row>
    <x:row r="25">
      <x:c r="A25" s="2" t="s">
        <x:v>372</x:v>
      </x:c>
      <x:c r="B25" s="14" t="n">
        <x:v>21</x:v>
      </x:c>
      <x:c r="C25" s="2" t="s">
        <x:v>311</x:v>
      </x:c>
      <x:c r="D25" s="4">
        <x:v>3</x:v>
      </x:c>
      <x:c r="E25" s="3">
        <x:v>45966</x:v>
      </x:c>
      <x:c r="F25" s="1" t="s">
        <x:v>345</x:v>
      </x:c>
      <x:c r="G25" s="6" t="n">
        <x:f>_xlfn.XLOOKUP(HistoricoCompras[[#This Row],[ID do Produto]],ProdutosCadastro[ID Produto],ProdutosCadastro[Preço de Venda])*HistoricoCompras[[#This Row],[Qtde de Produtos Comprados]]</x:f>
        <x:v>15.870000000000001</x:v>
      </x:c>
    </x:row>
    <x:row r="26">
      <x:c r="A26" s="2" t="s">
        <x:v>373</x:v>
      </x:c>
      <x:c r="B26" s="14" t="n">
        <x:v>27</x:v>
      </x:c>
      <x:c r="C26" s="2" t="s">
        <x:v>237</x:v>
      </x:c>
      <x:c r="D26" s="4">
        <x:v>4</x:v>
      </x:c>
      <x:c r="E26" s="3">
        <x:v>45966</x:v>
      </x:c>
      <x:c r="F26" s="1" t="s">
        <x:v>349</x:v>
      </x:c>
      <x:c r="G26" s="6" t="n">
        <x:f>_xlfn.XLOOKUP(HistoricoCompras[[#This Row],[ID do Produto]],ProdutosCadastro[ID Produto],ProdutosCadastro[Preço de Venda])*HistoricoCompras[[#This Row],[Qtde de Produtos Comprados]]</x:f>
        <x:v>11.16</x:v>
      </x:c>
    </x:row>
    <x:row r="27">
      <x:c r="A27" s="2" t="s">
        <x:v>374</x:v>
      </x:c>
      <x:c r="B27" s="14" t="n">
        <x:v>10</x:v>
      </x:c>
      <x:c r="C27" s="2" t="s">
        <x:v>326</x:v>
      </x:c>
      <x:c r="D27" s="4">
        <x:v>1</x:v>
      </x:c>
      <x:c r="E27" s="3">
        <x:v>45967</x:v>
      </x:c>
      <x:c r="F27" s="1" t="s">
        <x:v>353</x:v>
      </x:c>
      <x:c r="G27" s="6" t="n">
        <x:f>_xlfn.XLOOKUP(HistoricoCompras[[#This Row],[ID do Produto]],ProdutosCadastro[ID Produto],ProdutosCadastro[Preço de Venda])*HistoricoCompras[[#This Row],[Qtde de Produtos Comprados]]</x:f>
        <x:v>6.29</x:v>
      </x:c>
    </x:row>
    <x:row r="28">
      <x:c r="A28" s="2" t="s">
        <x:v>375</x:v>
      </x:c>
      <x:c r="B28" s="14" t="n">
        <x:v>15</x:v>
      </x:c>
      <x:c r="C28" s="2" t="s">
        <x:v>285</x:v>
      </x:c>
      <x:c r="D28" s="4">
        <x:v>5</x:v>
      </x:c>
      <x:c r="E28" s="3">
        <x:v>45977</x:v>
      </x:c>
      <x:c r="F28" s="1" t="s">
        <x:v>349</x:v>
      </x:c>
      <x:c r="G28" s="6" t="n">
        <x:f>_xlfn.XLOOKUP(HistoricoCompras[[#This Row],[ID do Produto]],ProdutosCadastro[ID Produto],ProdutosCadastro[Preço de Venda])*HistoricoCompras[[#This Row],[Qtde de Produtos Comprados]]</x:f>
        <x:v>13.95</x:v>
      </x:c>
    </x:row>
    <x:row r="29">
      <x:c r="A29" s="2" t="s">
        <x:v>376</x:v>
      </x:c>
      <x:c r="B29" s="14" t="n">
        <x:v>24</x:v>
      </x:c>
      <x:c r="C29" s="2" t="s">
        <x:v>285</x:v>
      </x:c>
      <x:c r="D29" s="4">
        <x:v>7</x:v>
      </x:c>
      <x:c r="E29" s="3">
        <x:v>45994</x:v>
      </x:c>
      <x:c r="F29" s="1" t="s">
        <x:v>351</x:v>
      </x:c>
      <x:c r="G29" s="6" t="n">
        <x:f>_xlfn.XLOOKUP(HistoricoCompras[[#This Row],[ID do Produto]],ProdutosCadastro[ID Produto],ProdutosCadastro[Preço de Venda])*HistoricoCompras[[#This Row],[Qtde de Produtos Comprados]]</x:f>
        <x:v>19.53</x:v>
      </x:c>
    </x:row>
    <x:row r="30">
      <x:c r="A30" s="2" t="s">
        <x:v>377</x:v>
      </x:c>
      <x:c r="B30" s="14" t="n">
        <x:v>30</x:v>
      </x:c>
      <x:c r="C30" s="2" t="s">
        <x:v>289</x:v>
      </x:c>
      <x:c r="D30" s="4">
        <x:v>2</x:v>
      </x:c>
      <x:c r="E30" s="3">
        <x:v>45996</x:v>
      </x:c>
      <x:c r="F30" s="1" t="s">
        <x:v>349</x:v>
      </x:c>
      <x:c r="G30" s="6" t="n">
        <x:f>_xlfn.XLOOKUP(HistoricoCompras[[#This Row],[ID do Produto]],ProdutosCadastro[ID Produto],ProdutosCadastro[Preço de Venda])*HistoricoCompras[[#This Row],[Qtde de Produtos Comprados]]</x:f>
        <x:v>5.38</x:v>
      </x:c>
    </x:row>
    <x:row r="31">
      <x:c r="A31" s="2" t="s">
        <x:v>378</x:v>
      </x:c>
      <x:c r="B31" s="14" t="n">
        <x:v>30</x:v>
      </x:c>
      <x:c r="C31" s="2" t="s">
        <x:v>324</x:v>
      </x:c>
      <x:c r="D31" s="4">
        <x:v>8</x:v>
      </x:c>
      <x:c r="E31" s="3">
        <x:v>45999</x:v>
      </x:c>
      <x:c r="F31" s="1" t="s">
        <x:v>351</x:v>
      </x:c>
      <x:c r="G31" s="6" t="n">
        <x:f>_xlfn.XLOOKUP(HistoricoCompras[[#This Row],[ID do Produto]],ProdutosCadastro[ID Produto],ProdutosCadastro[Preço de Venda])*HistoricoCompras[[#This Row],[Qtde de Produtos Comprados]]</x:f>
        <x:v>63.92</x:v>
      </x:c>
    </x:row>
    <x:row r="32">
      <x:c r="A32" s="2" t="s">
        <x:v>379</x:v>
      </x:c>
      <x:c r="B32" s="14" t="n">
        <x:v>22</x:v>
      </x:c>
      <x:c r="C32" s="2" t="s">
        <x:v>307</x:v>
      </x:c>
      <x:c r="D32" s="4">
        <x:v>7</x:v>
      </x:c>
      <x:c r="E32" s="3">
        <x:v>46001</x:v>
      </x:c>
      <x:c r="F32" s="1" t="s">
        <x:v>351</x:v>
      </x:c>
      <x:c r="G32" s="6" t="n">
        <x:f>_xlfn.XLOOKUP(HistoricoCompras[[#This Row],[ID do Produto]],ProdutosCadastro[ID Produto],ProdutosCadastro[Preço de Venda])*HistoricoCompras[[#This Row],[Qtde de Produtos Comprados]]</x:f>
        <x:v>87.43</x:v>
      </x:c>
    </x:row>
    <x:row r="33">
      <x:c r="A33" s="2" t="s">
        <x:v>380</x:v>
      </x:c>
      <x:c r="B33" s="14" t="n">
        <x:v>3</x:v>
      </x:c>
      <x:c r="C33" s="2" t="s">
        <x:v>261</x:v>
      </x:c>
      <x:c r="D33" s="4">
        <x:v>6</x:v>
      </x:c>
      <x:c r="E33" s="3">
        <x:v>46002</x:v>
      </x:c>
      <x:c r="F33" s="1" t="s">
        <x:v>351</x:v>
      </x:c>
      <x:c r="G33" s="6" t="n">
        <x:f>_xlfn.XLOOKUP(HistoricoCompras[[#This Row],[ID do Produto]],ProdutosCadastro[ID Produto],ProdutosCadastro[Preço de Venda])*HistoricoCompras[[#This Row],[Qtde de Produtos Comprados]]</x:f>
        <x:v>19.740000000000002</x:v>
      </x:c>
    </x:row>
    <x:row r="34">
      <x:c r="A34" s="2" t="s">
        <x:v>381</x:v>
      </x:c>
      <x:c r="B34" s="14" t="n">
        <x:v>26</x:v>
      </x:c>
      <x:c r="C34" s="2" t="s">
        <x:v>268</x:v>
      </x:c>
      <x:c r="D34" s="4">
        <x:v>7</x:v>
      </x:c>
      <x:c r="E34" s="3">
        <x:v>46006</x:v>
      </x:c>
      <x:c r="F34" s="1" t="s">
        <x:v>347</x:v>
      </x:c>
      <x:c r="G34" s="6" t="n">
        <x:f>_xlfn.XLOOKUP(HistoricoCompras[[#This Row],[ID do Produto]],ProdutosCadastro[ID Produto],ProdutosCadastro[Preço de Venda])*HistoricoCompras[[#This Row],[Qtde de Produtos Comprados]]</x:f>
        <x:v>59.43</x:v>
      </x:c>
    </x:row>
    <x:row r="35">
      <x:c r="A35" s="2" t="s">
        <x:v>382</x:v>
      </x:c>
      <x:c r="B35" s="14" t="n">
        <x:v>22</x:v>
      </x:c>
      <x:c r="C35" s="2" t="s">
        <x:v>283</x:v>
      </x:c>
      <x:c r="D35" s="4">
        <x:v>8</x:v>
      </x:c>
      <x:c r="E35" s="3">
        <x:v>46006</x:v>
      </x:c>
      <x:c r="F35" s="1" t="s">
        <x:v>353</x:v>
      </x:c>
      <x:c r="G35" s="6" t="n">
        <x:f>_xlfn.XLOOKUP(HistoricoCompras[[#This Row],[ID do Produto]],ProdutosCadastro[ID Produto],ProdutosCadastro[Preço de Venda])*HistoricoCompras[[#This Row],[Qtde de Produtos Comprados]]</x:f>
        <x:v>75.92</x:v>
      </x:c>
    </x:row>
    <x:row r="36">
      <x:c r="A36" s="2" t="s">
        <x:v>383</x:v>
      </x:c>
      <x:c r="B36" s="14" t="n">
        <x:v>29</x:v>
      </x:c>
      <x:c r="C36" s="2" t="s">
        <x:v>240</x:v>
      </x:c>
      <x:c r="D36" s="4">
        <x:v>3</x:v>
      </x:c>
      <x:c r="E36" s="3">
        <x:v>46014</x:v>
      </x:c>
      <x:c r="F36" s="1" t="s">
        <x:v>345</x:v>
      </x:c>
      <x:c r="G36" s="6" t="n">
        <x:f>_xlfn.XLOOKUP(HistoricoCompras[[#This Row],[ID do Produto]],ProdutosCadastro[ID Produto],ProdutosCadastro[Preço de Venda])*HistoricoCompras[[#This Row],[Qtde de Produtos Comprados]]</x:f>
        <x:v>23.97</x:v>
      </x:c>
    </x:row>
    <x:row r="37">
      <x:c r="A37" s="2" t="s">
        <x:v>384</x:v>
      </x:c>
      <x:c r="B37" s="14" t="n">
        <x:v>19</x:v>
      </x:c>
      <x:c r="C37" s="2" t="s">
        <x:v>226</x:v>
      </x:c>
      <x:c r="D37" s="4">
        <x:v>6</x:v>
      </x:c>
      <x:c r="E37" s="3">
        <x:v>46026</x:v>
      </x:c>
      <x:c r="F37" s="1" t="s">
        <x:v>347</x:v>
      </x:c>
      <x:c r="G37" s="6" t="n">
        <x:f>_xlfn.XLOOKUP(HistoricoCompras[[#This Row],[ID do Produto]],ProdutosCadastro[ID Produto],ProdutosCadastro[Preço de Venda])*HistoricoCompras[[#This Row],[Qtde de Produtos Comprados]]</x:f>
        <x:v>56.94</x:v>
      </x:c>
    </x:row>
    <x:row r="38">
      <x:c r="A38" s="2" t="s">
        <x:v>385</x:v>
      </x:c>
      <x:c r="B38" s="14" t="n">
        <x:v>28</x:v>
      </x:c>
      <x:c r="C38" s="2" t="s">
        <x:v>322</x:v>
      </x:c>
      <x:c r="D38" s="4">
        <x:v>1</x:v>
      </x:c>
      <x:c r="E38" s="3">
        <x:v>46026</x:v>
      </x:c>
      <x:c r="F38" s="1" t="s">
        <x:v>345</x:v>
      </x:c>
      <x:c r="G38" s="6" t="n">
        <x:f>_xlfn.XLOOKUP(HistoricoCompras[[#This Row],[ID do Produto]],ProdutosCadastro[ID Produto],ProdutosCadastro[Preço de Venda])*HistoricoCompras[[#This Row],[Qtde de Produtos Comprados]]</x:f>
        <x:v>10.9</x:v>
      </x:c>
    </x:row>
    <x:row r="39">
      <x:c r="A39" s="2" t="s">
        <x:v>386</x:v>
      </x:c>
      <x:c r="B39" s="14" t="n">
        <x:v>20</x:v>
      </x:c>
      <x:c r="C39" s="2" t="s">
        <x:v>322</x:v>
      </x:c>
      <x:c r="D39" s="4">
        <x:v>7</x:v>
      </x:c>
      <x:c r="E39" s="3">
        <x:v>46027</x:v>
      </x:c>
      <x:c r="F39" s="1" t="s">
        <x:v>351</x:v>
      </x:c>
      <x:c r="G39" s="6" t="n">
        <x:f>_xlfn.XLOOKUP(HistoricoCompras[[#This Row],[ID do Produto]],ProdutosCadastro[ID Produto],ProdutosCadastro[Preço de Venda])*HistoricoCompras[[#This Row],[Qtde de Produtos Comprados]]</x:f>
        <x:v>76.3</x:v>
      </x:c>
    </x:row>
    <x:row r="40">
      <x:c r="A40" s="2" t="s">
        <x:v>387</x:v>
      </x:c>
      <x:c r="B40" s="14" t="n">
        <x:v>22</x:v>
      </x:c>
      <x:c r="C40" s="2" t="s">
        <x:v>313</x:v>
      </x:c>
      <x:c r="D40" s="4">
        <x:v>2</x:v>
      </x:c>
      <x:c r="E40" s="3">
        <x:v>46029</x:v>
      </x:c>
      <x:c r="F40" s="1" t="s">
        <x:v>353</x:v>
      </x:c>
      <x:c r="G40" s="6" t="n">
        <x:f>_xlfn.XLOOKUP(HistoricoCompras[[#This Row],[ID do Produto]],ProdutosCadastro[ID Produto],ProdutosCadastro[Preço de Venda])*HistoricoCompras[[#This Row],[Qtde de Produtos Comprados]]</x:f>
        <x:v>23.8</x:v>
      </x:c>
    </x:row>
    <x:row r="41">
      <x:c r="A41" s="2" t="s">
        <x:v>388</x:v>
      </x:c>
      <x:c r="B41" s="14" t="n">
        <x:v>28</x:v>
      </x:c>
      <x:c r="C41" s="2" t="s">
        <x:v>252</x:v>
      </x:c>
      <x:c r="D41" s="4">
        <x:v>7</x:v>
      </x:c>
      <x:c r="E41" s="3">
        <x:v>46037</x:v>
      </x:c>
      <x:c r="F41" s="1" t="s">
        <x:v>347</x:v>
      </x:c>
      <x:c r="G41" s="6" t="n">
        <x:f>_xlfn.XLOOKUP(HistoricoCompras[[#This Row],[ID do Produto]],ProdutosCadastro[ID Produto],ProdutosCadastro[Preço de Venda])*HistoricoCompras[[#This Row],[Qtde de Produtos Comprados]]</x:f>
        <x:v>83.93</x:v>
      </x:c>
    </x:row>
    <x:row r="42">
      <x:c r="A42" s="2" t="s">
        <x:v>389</x:v>
      </x:c>
      <x:c r="B42" s="14" t="n">
        <x:v>8</x:v>
      </x:c>
      <x:c r="C42" s="2" t="s">
        <x:v>234</x:v>
      </x:c>
      <x:c r="D42" s="4">
        <x:v>1</x:v>
      </x:c>
      <x:c r="E42" s="3">
        <x:v>46051</x:v>
      </x:c>
      <x:c r="F42" s="1" t="s">
        <x:v>353</x:v>
      </x:c>
      <x:c r="G42" s="6" t="n">
        <x:f>_xlfn.XLOOKUP(HistoricoCompras[[#This Row],[ID do Produto]],ProdutosCadastro[ID Produto],ProdutosCadastro[Preço de Venda])*HistoricoCompras[[#This Row],[Qtde de Produtos Comprados]]</x:f>
        <x:v>4.29</x:v>
      </x:c>
    </x:row>
    <x:row r="43">
      <x:c r="A43" s="2" t="s">
        <x:v>390</x:v>
      </x:c>
      <x:c r="B43" s="14" t="n">
        <x:v>9</x:v>
      </x:c>
      <x:c r="C43" s="2" t="s">
        <x:v>320</x:v>
      </x:c>
      <x:c r="D43" s="4">
        <x:v>6</x:v>
      </x:c>
      <x:c r="E43" s="3">
        <x:v>46051</x:v>
      </x:c>
      <x:c r="F43" s="1" t="s">
        <x:v>347</x:v>
      </x:c>
      <x:c r="G43" s="6" t="n">
        <x:f>_xlfn.XLOOKUP(HistoricoCompras[[#This Row],[ID do Produto]],ProdutosCadastro[ID Produto],ProdutosCadastro[Preço de Venda])*HistoricoCompras[[#This Row],[Qtde de Produtos Comprados]]</x:f>
        <x:v>38.94</x:v>
      </x:c>
    </x:row>
    <x:row r="44">
      <x:c r="A44" s="2" t="s">
        <x:v>391</x:v>
      </x:c>
      <x:c r="B44" s="14" t="n">
        <x:v>2</x:v>
      </x:c>
      <x:c r="C44" s="2" t="s">
        <x:v>292</x:v>
      </x:c>
      <x:c r="D44" s="4">
        <x:v>1</x:v>
      </x:c>
      <x:c r="E44" s="3">
        <x:v>46052</x:v>
      </x:c>
      <x:c r="F44" s="1" t="s">
        <x:v>353</x:v>
      </x:c>
      <x:c r="G44" s="6" t="n">
        <x:f>_xlfn.XLOOKUP(HistoricoCompras[[#This Row],[ID do Produto]],ProdutosCadastro[ID Produto],ProdutosCadastro[Preço de Venda])*HistoricoCompras[[#This Row],[Qtde de Produtos Comprados]]</x:f>
        <x:v>18.9</x:v>
      </x:c>
    </x:row>
    <x:row r="45">
      <x:c r="A45" s="2" t="s">
        <x:v>392</x:v>
      </x:c>
      <x:c r="B45" s="14" t="n">
        <x:v>17</x:v>
      </x:c>
      <x:c r="C45" s="2" t="s">
        <x:v>234</x:v>
      </x:c>
      <x:c r="D45" s="4">
        <x:v>3</x:v>
      </x:c>
      <x:c r="E45" s="3">
        <x:v>46056</x:v>
      </x:c>
      <x:c r="F45" s="1" t="s">
        <x:v>349</x:v>
      </x:c>
      <x:c r="G45" s="6" t="n">
        <x:f>_xlfn.XLOOKUP(HistoricoCompras[[#This Row],[ID do Produto]],ProdutosCadastro[ID Produto],ProdutosCadastro[Preço de Venda])*HistoricoCompras[[#This Row],[Qtde de Produtos Comprados]]</x:f>
        <x:v>12.870000000000001</x:v>
      </x:c>
    </x:row>
    <x:row r="46">
      <x:c r="A46" s="2" t="s">
        <x:v>393</x:v>
      </x:c>
      <x:c r="B46" s="14" t="n">
        <x:v>13</x:v>
      </x:c>
      <x:c r="C46" s="2" t="s">
        <x:v>283</x:v>
      </x:c>
      <x:c r="D46" s="4">
        <x:v>6</x:v>
      </x:c>
      <x:c r="E46" s="3">
        <x:v>46057</x:v>
      </x:c>
      <x:c r="F46" s="1" t="s">
        <x:v>347</x:v>
      </x:c>
      <x:c r="G46" s="6" t="n">
        <x:f>_xlfn.XLOOKUP(HistoricoCompras[[#This Row],[ID do Produto]],ProdutosCadastro[ID Produto],ProdutosCadastro[Preço de Venda])*HistoricoCompras[[#This Row],[Qtde de Produtos Comprados]]</x:f>
        <x:v>56.94</x:v>
      </x:c>
    </x:row>
    <x:row r="47">
      <x:c r="A47" s="2" t="s">
        <x:v>394</x:v>
      </x:c>
      <x:c r="B47" s="14" t="n">
        <x:v>25</x:v>
      </x:c>
      <x:c r="C47" s="2" t="s">
        <x:v>254</x:v>
      </x:c>
      <x:c r="D47" s="4">
        <x:v>4</x:v>
      </x:c>
      <x:c r="E47" s="3">
        <x:v>46059</x:v>
      </x:c>
      <x:c r="F47" s="1" t="s">
        <x:v>349</x:v>
      </x:c>
      <x:c r="G47" s="6" t="n">
        <x:f>_xlfn.XLOOKUP(HistoricoCompras[[#This Row],[ID do Produto]],ProdutosCadastro[ID Produto],ProdutosCadastro[Preço de Venda])*HistoricoCompras[[#This Row],[Qtde de Produtos Comprados]]</x:f>
        <x:v>29.96</x:v>
      </x:c>
    </x:row>
    <x:row r="48">
      <x:c r="A48" s="2" t="s">
        <x:v>395</x:v>
      </x:c>
      <x:c r="B48" s="14" t="n">
        <x:v>7</x:v>
      </x:c>
      <x:c r="C48" s="2" t="s">
        <x:v>328</x:v>
      </x:c>
      <x:c r="D48" s="4">
        <x:v>3</x:v>
      </x:c>
      <x:c r="E48" s="3">
        <x:v>46066</x:v>
      </x:c>
      <x:c r="F48" s="1" t="s">
        <x:v>349</x:v>
      </x:c>
      <x:c r="G48" s="6" t="n">
        <x:f>_xlfn.XLOOKUP(HistoricoCompras[[#This Row],[ID do Produto]],ProdutosCadastro[ID Produto],ProdutosCadastro[Preço de Venda])*HistoricoCompras[[#This Row],[Qtde de Produtos Comprados]]</x:f>
        <x:v>17.97</x:v>
      </x:c>
    </x:row>
    <x:row r="49">
      <x:c r="A49" s="2" t="s">
        <x:v>396</x:v>
      </x:c>
      <x:c r="B49" s="14" t="n">
        <x:v>24</x:v>
      </x:c>
      <x:c r="C49" s="2" t="s">
        <x:v>265</x:v>
      </x:c>
      <x:c r="D49" s="4">
        <x:v>8</x:v>
      </x:c>
      <x:c r="E49" s="3">
        <x:v>46067</x:v>
      </x:c>
      <x:c r="F49" s="1" t="s">
        <x:v>353</x:v>
      </x:c>
      <x:c r="G49" s="6" t="n">
        <x:f>_xlfn.XLOOKUP(HistoricoCompras[[#This Row],[ID do Produto]],ProdutosCadastro[ID Produto],ProdutosCadastro[Preço de Venda])*HistoricoCompras[[#This Row],[Qtde de Produtos Comprados]]</x:f>
        <x:v>87.2</x:v>
      </x:c>
    </x:row>
    <x:row r="50">
      <x:c r="A50" s="2" t="s">
        <x:v>397</x:v>
      </x:c>
      <x:c r="B50" s="14" t="n">
        <x:v>11</x:v>
      </x:c>
      <x:c r="C50" s="2" t="s">
        <x:v>322</x:v>
      </x:c>
      <x:c r="D50" s="4">
        <x:v>5</x:v>
      </x:c>
      <x:c r="E50" s="3">
        <x:v>46069</x:v>
      </x:c>
      <x:c r="F50" s="1" t="s">
        <x:v>349</x:v>
      </x:c>
      <x:c r="G50" s="6" t="n">
        <x:f>_xlfn.XLOOKUP(HistoricoCompras[[#This Row],[ID do Produto]],ProdutosCadastro[ID Produto],ProdutosCadastro[Preço de Venda])*HistoricoCompras[[#This Row],[Qtde de Produtos Comprados]]</x:f>
        <x:v>54.5</x:v>
      </x:c>
    </x:row>
    <x:row r="51">
      <x:c r="A51" s="2" t="s">
        <x:v>398</x:v>
      </x:c>
      <x:c r="B51" s="14" t="n">
        <x:v>29</x:v>
      </x:c>
      <x:c r="C51" s="2" t="s">
        <x:v>318</x:v>
      </x:c>
      <x:c r="D51" s="4">
        <x:v>5</x:v>
      </x:c>
      <x:c r="E51" s="3">
        <x:v>46071</x:v>
      </x:c>
      <x:c r="F51" s="1" t="s">
        <x:v>347</x:v>
      </x:c>
      <x:c r="G51" s="6" t="n">
        <x:f>_xlfn.XLOOKUP(HistoricoCompras[[#This Row],[ID do Produto]],ProdutosCadastro[ID Produto],ProdutosCadastro[Preço de Venda])*HistoricoCompras[[#This Row],[Qtde de Produtos Comprados]]</x:f>
        <x:v>27.450000000000003</x:v>
      </x:c>
    </x:row>
    <x:row r="52">
      <x:c r="A52" s="2" t="s">
        <x:v>399</x:v>
      </x:c>
      <x:c r="B52" s="14" t="n">
        <x:v>18</x:v>
      </x:c>
      <x:c r="C52" s="2" t="s">
        <x:v>223</x:v>
      </x:c>
      <x:c r="D52" s="4">
        <x:v>7</x:v>
      </x:c>
      <x:c r="E52" s="3">
        <x:v>46072</x:v>
      </x:c>
      <x:c r="F52" s="1" t="s">
        <x:v>351</x:v>
      </x:c>
      <x:c r="G52" s="6" t="n">
        <x:f>_xlfn.XLOOKUP(HistoricoCompras[[#This Row],[ID do Produto]],ProdutosCadastro[ID Produto],ProdutosCadastro[Preço de Venda])*HistoricoCompras[[#This Row],[Qtde de Produtos Comprados]]</x:f>
        <x:v>209.29999999999998</x:v>
      </x:c>
    </x:row>
    <x:row r="53">
      <x:c r="A53" s="2" t="s">
        <x:v>400</x:v>
      </x:c>
      <x:c r="B53" s="14" t="n">
        <x:v>24</x:v>
      </x:c>
      <x:c r="C53" s="2" t="s">
        <x:v>247</x:v>
      </x:c>
      <x:c r="D53" s="4">
        <x:v>1</x:v>
      </x:c>
      <x:c r="E53" s="3">
        <x:v>46076</x:v>
      </x:c>
      <x:c r="F53" s="1" t="s">
        <x:v>345</x:v>
      </x:c>
      <x:c r="G53" s="6" t="n">
        <x:f>_xlfn.XLOOKUP(HistoricoCompras[[#This Row],[ID do Produto]],ProdutosCadastro[ID Produto],ProdutosCadastro[Preço de Venda])*HistoricoCompras[[#This Row],[Qtde de Produtos Comprados]]</x:f>
        <x:v>4.89</x:v>
      </x:c>
    </x:row>
    <x:row r="54">
      <x:c r="A54" s="2" t="s">
        <x:v>401</x:v>
      </x:c>
      <x:c r="B54" s="14" t="n">
        <x:v>27</x:v>
      </x:c>
      <x:c r="C54" s="2" t="s">
        <x:v>333</x:v>
      </x:c>
      <x:c r="D54" s="4">
        <x:v>5</x:v>
      </x:c>
      <x:c r="E54" s="3">
        <x:v>46077</x:v>
      </x:c>
      <x:c r="F54" s="1" t="s">
        <x:v>347</x:v>
      </x:c>
      <x:c r="G54" s="6" t="n">
        <x:f>_xlfn.XLOOKUP(HistoricoCompras[[#This Row],[ID do Produto]],ProdutosCadastro[ID Produto],ProdutosCadastro[Preço de Venda])*HistoricoCompras[[#This Row],[Qtde de Produtos Comprados]]</x:f>
        <x:v>164.5</x:v>
      </x:c>
    </x:row>
    <x:row r="55">
      <x:c r="A55" s="2" t="s">
        <x:v>402</x:v>
      </x:c>
      <x:c r="B55" s="14" t="n">
        <x:v>10</x:v>
      </x:c>
      <x:c r="C55" s="2" t="s">
        <x:v>302</x:v>
      </x:c>
      <x:c r="D55" s="4">
        <x:v>7</x:v>
      </x:c>
      <x:c r="E55" s="3">
        <x:v>46077</x:v>
      </x:c>
      <x:c r="F55" s="1" t="s">
        <x:v>353</x:v>
      </x:c>
      <x:c r="G55" s="6" t="n">
        <x:f>_xlfn.XLOOKUP(HistoricoCompras[[#This Row],[ID do Produto]],ProdutosCadastro[ID Produto],ProdutosCadastro[Preço de Venda])*HistoricoCompras[[#This Row],[Qtde de Produtos Comprados]]</x:f>
        <x:v>146.29999999999998</x:v>
      </x:c>
    </x:row>
    <x:row r="56">
      <x:c r="A56" s="2" t="s">
        <x:v>403</x:v>
      </x:c>
      <x:c r="B56" s="14" t="n">
        <x:v>15</x:v>
      </x:c>
      <x:c r="C56" s="2" t="s">
        <x:v>232</x:v>
      </x:c>
      <x:c r="D56" s="4">
        <x:v>4</x:v>
      </x:c>
      <x:c r="E56" s="3">
        <x:v>46079</x:v>
      </x:c>
      <x:c r="F56" s="1" t="s">
        <x:v>347</x:v>
      </x:c>
      <x:c r="G56" s="6" t="n">
        <x:f>_xlfn.XLOOKUP(HistoricoCompras[[#This Row],[ID do Produto]],ProdutosCadastro[ID Produto],ProdutosCadastro[Preço de Venda])*HistoricoCompras[[#This Row],[Qtde de Produtos Comprados]]</x:f>
        <x:v>23.96</x:v>
      </x:c>
    </x:row>
    <x:row r="57">
      <x:c r="A57" s="2" t="s">
        <x:v>404</x:v>
      </x:c>
      <x:c r="B57" s="14" t="n">
        <x:v>1</x:v>
      </x:c>
      <x:c r="C57" s="2" t="s">
        <x:v>296</x:v>
      </x:c>
      <x:c r="D57" s="4">
        <x:v>5</x:v>
      </x:c>
      <x:c r="E57" s="3">
        <x:v>46084</x:v>
      </x:c>
      <x:c r="F57" s="1" t="s">
        <x:v>347</x:v>
      </x:c>
      <x:c r="G57" s="6" t="n">
        <x:f>_xlfn.XLOOKUP(HistoricoCompras[[#This Row],[ID do Produto]],ProdutosCadastro[ID Produto],ProdutosCadastro[Preço de Venda])*HistoricoCompras[[#This Row],[Qtde de Produtos Comprados]]</x:f>
        <x:v>29.950000000000003</x:v>
      </x:c>
    </x:row>
    <x:row r="58">
      <x:c r="A58" s="2" t="s">
        <x:v>405</x:v>
      </x:c>
      <x:c r="B58" s="14" t="n">
        <x:v>30</x:v>
      </x:c>
      <x:c r="C58" s="2" t="s">
        <x:v>228</x:v>
      </x:c>
      <x:c r="D58" s="4">
        <x:v>7</x:v>
      </x:c>
      <x:c r="E58" s="3">
        <x:v>46087</x:v>
      </x:c>
      <x:c r="F58" s="1" t="s">
        <x:v>347</x:v>
      </x:c>
      <x:c r="G58" s="6" t="n">
        <x:f>_xlfn.XLOOKUP(HistoricoCompras[[#This Row],[ID do Produto]],ProdutosCadastro[ID Produto],ProdutosCadastro[Preço de Venda])*HistoricoCompras[[#This Row],[Qtde de Produtos Comprados]]</x:f>
        <x:v>33.53</x:v>
      </x:c>
    </x:row>
    <x:row r="59">
      <x:c r="A59" s="2" t="s">
        <x:v>406</x:v>
      </x:c>
      <x:c r="B59" s="14" t="n">
        <x:v>19</x:v>
      </x:c>
      <x:c r="C59" s="2" t="s">
        <x:v>309</x:v>
      </x:c>
      <x:c r="D59" s="4">
        <x:v>4</x:v>
      </x:c>
      <x:c r="E59" s="3">
        <x:v>46087</x:v>
      </x:c>
      <x:c r="F59" s="1" t="s">
        <x:v>347</x:v>
      </x:c>
      <x:c r="G59" s="6" t="n">
        <x:f>_xlfn.XLOOKUP(HistoricoCompras[[#This Row],[ID do Produto]],ProdutosCadastro[ID Produto],ProdutosCadastro[Preço de Venda])*HistoricoCompras[[#This Row],[Qtde de Produtos Comprados]]</x:f>
        <x:v>51.6</x:v>
      </x:c>
    </x:row>
    <x:row r="60">
      <x:c r="A60" s="2" t="s">
        <x:v>407</x:v>
      </x:c>
      <x:c r="B60" s="14" t="n">
        <x:v>10</x:v>
      </x:c>
      <x:c r="C60" s="2" t="s">
        <x:v>309</x:v>
      </x:c>
      <x:c r="D60" s="4">
        <x:v>2</x:v>
      </x:c>
      <x:c r="E60" s="3">
        <x:v>46091</x:v>
      </x:c>
      <x:c r="F60" s="1" t="s">
        <x:v>345</x:v>
      </x:c>
      <x:c r="G60" s="6" t="n">
        <x:f>_xlfn.XLOOKUP(HistoricoCompras[[#This Row],[ID do Produto]],ProdutosCadastro[ID Produto],ProdutosCadastro[Preço de Venda])*HistoricoCompras[[#This Row],[Qtde de Produtos Comprados]]</x:f>
        <x:v>25.8</x:v>
      </x:c>
    </x:row>
    <x:row r="61">
      <x:c r="A61" s="2" t="s">
        <x:v>408</x:v>
      </x:c>
      <x:c r="B61" s="14" t="n">
        <x:v>12</x:v>
      </x:c>
      <x:c r="C61" s="2" t="s">
        <x:v>294</x:v>
      </x:c>
      <x:c r="D61" s="4">
        <x:v>2</x:v>
      </x:c>
      <x:c r="E61" s="3">
        <x:v>46094</x:v>
      </x:c>
      <x:c r="F61" s="1" t="s">
        <x:v>345</x:v>
      </x:c>
      <x:c r="G61" s="6" t="n">
        <x:f>_xlfn.XLOOKUP(HistoricoCompras[[#This Row],[ID do Produto]],ProdutosCadastro[ID Produto],ProdutosCadastro[Preço de Venda])*HistoricoCompras[[#This Row],[Qtde de Produtos Comprados]]</x:f>
        <x:v>20.98</x:v>
      </x:c>
    </x:row>
    <x:row r="62">
      <x:c r="A62" s="2" t="s">
        <x:v>409</x:v>
      </x:c>
      <x:c r="B62" s="14" t="n">
        <x:v>9</x:v>
      </x:c>
      <x:c r="C62" s="2" t="s">
        <x:v>307</x:v>
      </x:c>
      <x:c r="D62" s="4">
        <x:v>3</x:v>
      </x:c>
      <x:c r="E62" s="3">
        <x:v>46099</x:v>
      </x:c>
      <x:c r="F62" s="1" t="s">
        <x:v>349</x:v>
      </x:c>
      <x:c r="G62" s="6" t="n">
        <x:f>_xlfn.XLOOKUP(HistoricoCompras[[#This Row],[ID do Produto]],ProdutosCadastro[ID Produto],ProdutosCadastro[Preço de Venda])*HistoricoCompras[[#This Row],[Qtde de Produtos Comprados]]</x:f>
        <x:v>37.47</x:v>
      </x:c>
    </x:row>
    <x:row r="63">
      <x:c r="A63" s="2" t="s">
        <x:v>410</x:v>
      </x:c>
      <x:c r="B63" s="14" t="n">
        <x:v>6</x:v>
      </x:c>
      <x:c r="C63" s="2" t="s">
        <x:v>271</x:v>
      </x:c>
      <x:c r="D63" s="4">
        <x:v>8</x:v>
      </x:c>
      <x:c r="E63" s="3">
        <x:v>46102</x:v>
      </x:c>
      <x:c r="F63" s="1" t="s">
        <x:v>351</x:v>
      </x:c>
      <x:c r="G63" s="6" t="n">
        <x:f>_xlfn.XLOOKUP(HistoricoCompras[[#This Row],[ID do Produto]],ProdutosCadastro[ID Produto],ProdutosCadastro[Preço de Venda])*HistoricoCompras[[#This Row],[Qtde de Produtos Comprados]]</x:f>
        <x:v>38.32</x:v>
      </x:c>
    </x:row>
    <x:row r="64">
      <x:c r="A64" s="2" t="s">
        <x:v>411</x:v>
      </x:c>
      <x:c r="B64" s="14" t="n">
        <x:v>25</x:v>
      </x:c>
      <x:c r="C64" s="2" t="s">
        <x:v>234</x:v>
      </x:c>
      <x:c r="D64" s="4">
        <x:v>5</x:v>
      </x:c>
      <x:c r="E64" s="3">
        <x:v>46102</x:v>
      </x:c>
      <x:c r="F64" s="1" t="s">
        <x:v>347</x:v>
      </x:c>
      <x:c r="G64" s="6" t="n">
        <x:f>_xlfn.XLOOKUP(HistoricoCompras[[#This Row],[ID do Produto]],ProdutosCadastro[ID Produto],ProdutosCadastro[Preço de Venda])*HistoricoCompras[[#This Row],[Qtde de Produtos Comprados]]</x:f>
        <x:v>21.45</x:v>
      </x:c>
    </x:row>
    <x:row r="65">
      <x:c r="A65" s="2" t="s">
        <x:v>412</x:v>
      </x:c>
      <x:c r="B65" s="14" t="n">
        <x:v>8</x:v>
      </x:c>
      <x:c r="C65" s="2" t="s">
        <x:v>324</x:v>
      </x:c>
      <x:c r="D65" s="4">
        <x:v>2</x:v>
      </x:c>
      <x:c r="E65" s="3">
        <x:v>46107</x:v>
      </x:c>
      <x:c r="F65" s="1" t="s">
        <x:v>345</x:v>
      </x:c>
      <x:c r="G65" s="6" t="n">
        <x:f>_xlfn.XLOOKUP(HistoricoCompras[[#This Row],[ID do Produto]],ProdutosCadastro[ID Produto],ProdutosCadastro[Preço de Venda])*HistoricoCompras[[#This Row],[Qtde de Produtos Comprados]]</x:f>
        <x:v>15.98</x:v>
      </x:c>
    </x:row>
    <x:row r="66">
      <x:c r="A66" s="2" t="s">
        <x:v>413</x:v>
      </x:c>
      <x:c r="B66" s="14" t="n">
        <x:v>28</x:v>
      </x:c>
      <x:c r="C66" s="2" t="s">
        <x:v>305</x:v>
      </x:c>
      <x:c r="D66" s="4">
        <x:v>2</x:v>
      </x:c>
      <x:c r="E66" s="3">
        <x:v>46107</x:v>
      </x:c>
      <x:c r="F66" s="1" t="s">
        <x:v>349</x:v>
      </x:c>
      <x:c r="G66" s="6" t="n">
        <x:f>_xlfn.XLOOKUP(HistoricoCompras[[#This Row],[ID do Produto]],ProdutosCadastro[ID Produto],ProdutosCadastro[Preço de Venda])*HistoricoCompras[[#This Row],[Qtde de Produtos Comprados]]</x:f>
        <x:v>5.98</x:v>
      </x:c>
    </x:row>
    <x:row r="67">
      <x:c r="A67" s="2" t="s">
        <x:v>414</x:v>
      </x:c>
      <x:c r="B67" s="14" t="n">
        <x:v>14</x:v>
      </x:c>
      <x:c r="C67" s="2" t="s">
        <x:v>271</x:v>
      </x:c>
      <x:c r="D67" s="4">
        <x:v>2</x:v>
      </x:c>
      <x:c r="E67" s="3">
        <x:v>46116</x:v>
      </x:c>
      <x:c r="F67" s="1" t="s">
        <x:v>345</x:v>
      </x:c>
      <x:c r="G67" s="6" t="n">
        <x:f>_xlfn.XLOOKUP(HistoricoCompras[[#This Row],[ID do Produto]],ProdutosCadastro[ID Produto],ProdutosCadastro[Preço de Venda])*HistoricoCompras[[#This Row],[Qtde de Produtos Comprados]]</x:f>
        <x:v>9.58</x:v>
      </x:c>
    </x:row>
    <x:row r="68">
      <x:c r="A68" s="2" t="s">
        <x:v>415</x:v>
      </x:c>
      <x:c r="B68" s="14" t="n">
        <x:v>3</x:v>
      </x:c>
      <x:c r="C68" s="2" t="s">
        <x:v>281</x:v>
      </x:c>
      <x:c r="D68" s="4">
        <x:v>5</x:v>
      </x:c>
      <x:c r="E68" s="3">
        <x:v>46116</x:v>
      </x:c>
      <x:c r="F68" s="1" t="s">
        <x:v>347</x:v>
      </x:c>
      <x:c r="G68" s="6" t="n">
        <x:f>_xlfn.XLOOKUP(HistoricoCompras[[#This Row],[ID do Produto]],ProdutosCadastro[ID Produto],ProdutosCadastro[Preço de Venda])*HistoricoCompras[[#This Row],[Qtde de Produtos Comprados]]</x:f>
        <x:v>57.45</x:v>
      </x:c>
    </x:row>
    <x:row r="69">
      <x:c r="A69" s="2" t="s">
        <x:v>416</x:v>
      </x:c>
      <x:c r="B69" s="14" t="n">
        <x:v>5</x:v>
      </x:c>
      <x:c r="C69" s="2" t="s">
        <x:v>237</x:v>
      </x:c>
      <x:c r="D69" s="4">
        <x:v>6</x:v>
      </x:c>
      <x:c r="E69" s="3">
        <x:v>46121</x:v>
      </x:c>
      <x:c r="F69" s="1" t="s">
        <x:v>351</x:v>
      </x:c>
      <x:c r="G69" s="6" t="n">
        <x:f>_xlfn.XLOOKUP(HistoricoCompras[[#This Row],[ID do Produto]],ProdutosCadastro[ID Produto],ProdutosCadastro[Preço de Venda])*HistoricoCompras[[#This Row],[Qtde de Produtos Comprados]]</x:f>
        <x:v>16.740000000000002</x:v>
      </x:c>
    </x:row>
    <x:row r="70">
      <x:c r="A70" s="2" t="s">
        <x:v>417</x:v>
      </x:c>
      <x:c r="B70" s="14" t="n">
        <x:v>23</x:v>
      </x:c>
      <x:c r="C70" s="2" t="s">
        <x:v>296</x:v>
      </x:c>
      <x:c r="D70" s="4">
        <x:v>3</x:v>
      </x:c>
      <x:c r="E70" s="3">
        <x:v>46132</x:v>
      </x:c>
      <x:c r="F70" s="1" t="s">
        <x:v>345</x:v>
      </x:c>
      <x:c r="G70" s="6" t="n">
        <x:f>_xlfn.XLOOKUP(HistoricoCompras[[#This Row],[ID do Produto]],ProdutosCadastro[ID Produto],ProdutosCadastro[Preço de Venda])*HistoricoCompras[[#This Row],[Qtde de Produtos Comprados]]</x:f>
        <x:v>17.97</x:v>
      </x:c>
    </x:row>
    <x:row r="71">
      <x:c r="A71" s="2" t="s">
        <x:v>418</x:v>
      </x:c>
      <x:c r="B71" s="14" t="n">
        <x:v>2</x:v>
      </x:c>
      <x:c r="C71" s="2" t="s">
        <x:v>309</x:v>
      </x:c>
      <x:c r="D71" s="4">
        <x:v>8</x:v>
      </x:c>
      <x:c r="E71" s="3">
        <x:v>46136</x:v>
      </x:c>
      <x:c r="F71" s="1" t="s">
        <x:v>351</x:v>
      </x:c>
      <x:c r="G71" s="6" t="n">
        <x:f>_xlfn.XLOOKUP(HistoricoCompras[[#This Row],[ID do Produto]],ProdutosCadastro[ID Produto],ProdutosCadastro[Preço de Venda])*HistoricoCompras[[#This Row],[Qtde de Produtos Comprados]]</x:f>
        <x:v>103.2</x:v>
      </x:c>
    </x:row>
    <x:row r="72">
      <x:c r="A72" s="2" t="s">
        <x:v>419</x:v>
      </x:c>
      <x:c r="B72" s="14" t="n">
        <x:v>16</x:v>
      </x:c>
      <x:c r="C72" s="2" t="s">
        <x:v>247</x:v>
      </x:c>
      <x:c r="D72" s="4">
        <x:v>7</x:v>
      </x:c>
      <x:c r="E72" s="3">
        <x:v>46136</x:v>
      </x:c>
      <x:c r="F72" s="1" t="s">
        <x:v>351</x:v>
      </x:c>
      <x:c r="G72" s="6" t="n">
        <x:f>_xlfn.XLOOKUP(HistoricoCompras[[#This Row],[ID do Produto]],ProdutosCadastro[ID Produto],ProdutosCadastro[Preço de Venda])*HistoricoCompras[[#This Row],[Qtde de Produtos Comprados]]</x:f>
        <x:v>34.23</x:v>
      </x:c>
    </x:row>
    <x:row r="73">
      <x:c r="A73" s="2" t="s">
        <x:v>420</x:v>
      </x:c>
      <x:c r="B73" s="14" t="n">
        <x:v>17</x:v>
      </x:c>
      <x:c r="C73" s="2" t="s">
        <x:v>242</x:v>
      </x:c>
      <x:c r="D73" s="4">
        <x:v>6</x:v>
      </x:c>
      <x:c r="E73" s="3">
        <x:v>46139</x:v>
      </x:c>
      <x:c r="F73" s="1" t="s">
        <x:v>347</x:v>
      </x:c>
      <x:c r="G73" s="6" t="n">
        <x:f>_xlfn.XLOOKUP(HistoricoCompras[[#This Row],[ID do Produto]],ProdutosCadastro[ID Produto],ProdutosCadastro[Preço de Venda])*HistoricoCompras[[#This Row],[Qtde de Produtos Comprados]]</x:f>
        <x:v>209.39999999999998</x:v>
      </x:c>
    </x:row>
    <x:row r="74">
      <x:c r="A74" s="2" t="s">
        <x:v>421</x:v>
      </x:c>
      <x:c r="B74" s="14" t="n">
        <x:v>6</x:v>
      </x:c>
      <x:c r="C74" s="2" t="s">
        <x:v>232</x:v>
      </x:c>
      <x:c r="D74" s="4">
        <x:v>2</x:v>
      </x:c>
      <x:c r="E74" s="3">
        <x:v>46142</x:v>
      </x:c>
      <x:c r="F74" s="1" t="s">
        <x:v>345</x:v>
      </x:c>
      <x:c r="G74" s="6" t="n">
        <x:f>_xlfn.XLOOKUP(HistoricoCompras[[#This Row],[ID do Produto]],ProdutosCadastro[ID Produto],ProdutosCadastro[Preço de Venda])*HistoricoCompras[[#This Row],[Qtde de Produtos Comprados]]</x:f>
        <x:v>11.98</x:v>
      </x:c>
    </x:row>
    <x:row r="75">
      <x:c r="A75" s="2" t="s">
        <x:v>422</x:v>
      </x:c>
      <x:c r="B75" s="14" t="n">
        <x:v>23</x:v>
      </x:c>
      <x:c r="C75" s="2" t="s">
        <x:v>259</x:v>
      </x:c>
      <x:c r="D75" s="4">
        <x:v>5</x:v>
      </x:c>
      <x:c r="E75" s="3">
        <x:v>46146</x:v>
      </x:c>
      <x:c r="F75" s="1" t="s">
        <x:v>347</x:v>
      </x:c>
      <x:c r="G75" s="6" t="n">
        <x:f>_xlfn.XLOOKUP(HistoricoCompras[[#This Row],[ID do Produto]],ProdutosCadastro[ID Produto],ProdutosCadastro[Preço de Venda])*HistoricoCompras[[#This Row],[Qtde de Produtos Comprados]]</x:f>
        <x:v>52.45</x:v>
      </x:c>
    </x:row>
    <x:row r="76">
      <x:c r="A76" s="2" t="s">
        <x:v>423</x:v>
      </x:c>
      <x:c r="B76" s="14" t="n">
        <x:v>26</x:v>
      </x:c>
      <x:c r="C76" s="2" t="s">
        <x:v>250</x:v>
      </x:c>
      <x:c r="D76" s="4">
        <x:v>8</x:v>
      </x:c>
      <x:c r="E76" s="3">
        <x:v>46147</x:v>
      </x:c>
      <x:c r="F76" s="1" t="s">
        <x:v>353</x:v>
      </x:c>
      <x:c r="G76" s="6" t="n">
        <x:f>_xlfn.XLOOKUP(HistoricoCompras[[#This Row],[ID do Produto]],ProdutosCadastro[ID Produto],ProdutosCadastro[Preço de Venda])*HistoricoCompras[[#This Row],[Qtde de Produtos Comprados]]</x:f>
        <x:v>39.92</x:v>
      </x:c>
    </x:row>
    <x:row r="77">
      <x:c r="A77" s="2" t="s">
        <x:v>424</x:v>
      </x:c>
      <x:c r="B77" s="14" t="n">
        <x:v>5</x:v>
      </x:c>
      <x:c r="C77" s="2" t="s">
        <x:v>283</x:v>
      </x:c>
      <x:c r="D77" s="4">
        <x:v>4</x:v>
      </x:c>
      <x:c r="E77" s="3">
        <x:v>46149</x:v>
      </x:c>
      <x:c r="F77" s="1" t="s">
        <x:v>345</x:v>
      </x:c>
      <x:c r="G77" s="6" t="n">
        <x:f>_xlfn.XLOOKUP(HistoricoCompras[[#This Row],[ID do Produto]],ProdutosCadastro[ID Produto],ProdutosCadastro[Preço de Venda])*HistoricoCompras[[#This Row],[Qtde de Produtos Comprados]]</x:f>
        <x:v>37.96</x:v>
      </x:c>
    </x:row>
    <x:row r="78">
      <x:c r="A78" s="2" t="s">
        <x:v>425</x:v>
      </x:c>
      <x:c r="B78" s="14" t="n">
        <x:v>7</x:v>
      </x:c>
      <x:c r="C78" s="2" t="s">
        <x:v>259</x:v>
      </x:c>
      <x:c r="D78" s="4">
        <x:v>4</x:v>
      </x:c>
      <x:c r="E78" s="3">
        <x:v>46151</x:v>
      </x:c>
      <x:c r="F78" s="1" t="s">
        <x:v>345</x:v>
      </x:c>
      <x:c r="G78" s="6" t="n">
        <x:f>_xlfn.XLOOKUP(HistoricoCompras[[#This Row],[ID do Produto]],ProdutosCadastro[ID Produto],ProdutosCadastro[Preço de Venda])*HistoricoCompras[[#This Row],[Qtde de Produtos Comprados]]</x:f>
        <x:v>41.96</x:v>
      </x:c>
    </x:row>
    <x:row r="79">
      <x:c r="A79" s="2" t="s">
        <x:v>426</x:v>
      </x:c>
      <x:c r="B79" s="14" t="n">
        <x:v>11</x:v>
      </x:c>
      <x:c r="C79" s="2" t="s">
        <x:v>292</x:v>
      </x:c>
      <x:c r="D79" s="4">
        <x:v>3</x:v>
      </x:c>
      <x:c r="E79" s="3">
        <x:v>46151</x:v>
      </x:c>
      <x:c r="F79" s="1" t="s">
        <x:v>349</x:v>
      </x:c>
      <x:c r="G79" s="6" t="n">
        <x:f>_xlfn.XLOOKUP(HistoricoCompras[[#This Row],[ID do Produto]],ProdutosCadastro[ID Produto],ProdutosCadastro[Preço de Venda])*HistoricoCompras[[#This Row],[Qtde de Produtos Comprados]]</x:f>
        <x:v>56.699999999999996</x:v>
      </x:c>
    </x:row>
    <x:row r="80">
      <x:c r="A80" s="2" t="s">
        <x:v>427</x:v>
      </x:c>
      <x:c r="B80" s="14" t="n">
        <x:v>6</x:v>
      </x:c>
      <x:c r="C80" s="2" t="s">
        <x:v>252</x:v>
      </x:c>
      <x:c r="D80" s="4">
        <x:v>1</x:v>
      </x:c>
      <x:c r="E80" s="3">
        <x:v>46154</x:v>
      </x:c>
      <x:c r="F80" s="1" t="s">
        <x:v>353</x:v>
      </x:c>
      <x:c r="G80" s="6" t="n">
        <x:f>_xlfn.XLOOKUP(HistoricoCompras[[#This Row],[ID do Produto]],ProdutosCadastro[ID Produto],ProdutosCadastro[Preço de Venda])*HistoricoCompras[[#This Row],[Qtde de Produtos Comprados]]</x:f>
        <x:v>11.99</x:v>
      </x:c>
    </x:row>
    <x:row r="81">
      <x:c r="A81" s="2" t="s">
        <x:v>428</x:v>
      </x:c>
      <x:c r="B81" s="14" t="n">
        <x:v>27</x:v>
      </x:c>
      <x:c r="C81" s="2" t="s">
        <x:v>256</x:v>
      </x:c>
      <x:c r="D81" s="4">
        <x:v>3</x:v>
      </x:c>
      <x:c r="E81" s="3">
        <x:v>46156</x:v>
      </x:c>
      <x:c r="F81" s="1" t="s">
        <x:v>345</x:v>
      </x:c>
      <x:c r="G81" s="6" t="n">
        <x:f>_xlfn.XLOOKUP(HistoricoCompras[[#This Row],[ID do Produto]],ProdutosCadastro[ID Produto],ProdutosCadastro[Preço de Venda])*HistoricoCompras[[#This Row],[Qtde de Produtos Comprados]]</x:f>
        <x:v>40.47</x:v>
      </x:c>
    </x:row>
    <x:row r="82">
      <x:c r="A82" s="2" t="s">
        <x:v>429</x:v>
      </x:c>
      <x:c r="B82" s="14" t="n">
        <x:v>16</x:v>
      </x:c>
      <x:c r="C82" s="2" t="s">
        <x:v>254</x:v>
      </x:c>
      <x:c r="D82" s="4">
        <x:v>2</x:v>
      </x:c>
      <x:c r="E82" s="3">
        <x:v>46157</x:v>
      </x:c>
      <x:c r="F82" s="1" t="s">
        <x:v>353</x:v>
      </x:c>
      <x:c r="G82" s="6" t="n">
        <x:f>_xlfn.XLOOKUP(HistoricoCompras[[#This Row],[ID do Produto]],ProdutosCadastro[ID Produto],ProdutosCadastro[Preço de Venda])*HistoricoCompras[[#This Row],[Qtde de Produtos Comprados]]</x:f>
        <x:v>14.98</x:v>
      </x:c>
    </x:row>
    <x:row r="83">
      <x:c r="A83" s="2" t="s">
        <x:v>430</x:v>
      </x:c>
      <x:c r="B83" s="14" t="n">
        <x:v>3</x:v>
      </x:c>
      <x:c r="C83" s="2" t="s">
        <x:v>298</x:v>
      </x:c>
      <x:c r="D83" s="4">
        <x:v>4</x:v>
      </x:c>
      <x:c r="E83" s="3">
        <x:v>46166</x:v>
      </x:c>
      <x:c r="F83" s="1" t="s">
        <x:v>349</x:v>
      </x:c>
      <x:c r="G83" s="6" t="n">
        <x:f>_xlfn.XLOOKUP(HistoricoCompras[[#This Row],[ID do Produto]],ProdutosCadastro[ID Produto],ProdutosCadastro[Preço de Venda])*HistoricoCompras[[#This Row],[Qtde de Produtos Comprados]]</x:f>
        <x:v>29.96</x:v>
      </x:c>
    </x:row>
    <x:row r="84">
      <x:c r="A84" s="2" t="s">
        <x:v>431</x:v>
      </x:c>
      <x:c r="B84" s="14" t="n">
        <x:v>5</x:v>
      </x:c>
      <x:c r="C84" s="2" t="s">
        <x:v>263</x:v>
      </x:c>
      <x:c r="D84" s="4">
        <x:v>5</x:v>
      </x:c>
      <x:c r="E84" s="3">
        <x:v>46167</x:v>
      </x:c>
      <x:c r="F84" s="1" t="s">
        <x:v>347</x:v>
      </x:c>
      <x:c r="G84" s="6" t="n">
        <x:f>_xlfn.XLOOKUP(HistoricoCompras[[#This Row],[ID do Produto]],ProdutosCadastro[ID Produto],ProdutosCadastro[Preço de Venda])*HistoricoCompras[[#This Row],[Qtde de Produtos Comprados]]</x:f>
        <x:v>46.449999999999996</x:v>
      </x:c>
    </x:row>
    <x:row r="85">
      <x:c r="A85" s="2" t="s">
        <x:v>432</x:v>
      </x:c>
      <x:c r="B85" s="14" t="n">
        <x:v>23</x:v>
      </x:c>
      <x:c r="C85" s="2" t="s">
        <x:v>279</x:v>
      </x:c>
      <x:c r="D85" s="4">
        <x:v>4</x:v>
      </x:c>
      <x:c r="E85" s="3">
        <x:v>46171</x:v>
      </x:c>
      <x:c r="F85" s="1" t="s">
        <x:v>349</x:v>
      </x:c>
      <x:c r="G85" s="6" t="n">
        <x:f>_xlfn.XLOOKUP(HistoricoCompras[[#This Row],[ID do Produto]],ProdutosCadastro[ID Produto],ProdutosCadastro[Preço de Venda])*HistoricoCompras[[#This Row],[Qtde de Produtos Comprados]]</x:f>
        <x:v>37.96</x:v>
      </x:c>
    </x:row>
    <x:row r="86">
      <x:c r="A86" s="2" t="s">
        <x:v>433</x:v>
      </x:c>
      <x:c r="B86" s="14" t="n">
        <x:v>19</x:v>
      </x:c>
      <x:c r="C86" s="2" t="s">
        <x:v>333</x:v>
      </x:c>
      <x:c r="D86" s="4">
        <x:v>3</x:v>
      </x:c>
      <x:c r="E86" s="3">
        <x:v>46184</x:v>
      </x:c>
      <x:c r="F86" s="1" t="s">
        <x:v>345</x:v>
      </x:c>
      <x:c r="G86" s="6" t="n">
        <x:f>_xlfn.XLOOKUP(HistoricoCompras[[#This Row],[ID do Produto]],ProdutosCadastro[ID Produto],ProdutosCadastro[Preço de Venda])*HistoricoCompras[[#This Row],[Qtde de Produtos Comprados]]</x:f>
        <x:v>98.69999999999999</x:v>
      </x:c>
    </x:row>
    <x:row r="87">
      <x:c r="A87" s="2" t="s">
        <x:v>434</x:v>
      </x:c>
      <x:c r="B87" s="14" t="n">
        <x:v>29</x:v>
      </x:c>
      <x:c r="C87" s="2" t="s">
        <x:v>294</x:v>
      </x:c>
      <x:c r="D87" s="4">
        <x:v>6</x:v>
      </x:c>
      <x:c r="E87" s="3">
        <x:v>46186</x:v>
      </x:c>
      <x:c r="F87" s="1" t="s">
        <x:v>351</x:v>
      </x:c>
      <x:c r="G87" s="6" t="n">
        <x:f>_xlfn.XLOOKUP(HistoricoCompras[[#This Row],[ID do Produto]],ProdutosCadastro[ID Produto],ProdutosCadastro[Preço de Venda])*HistoricoCompras[[#This Row],[Qtde de Produtos Comprados]]</x:f>
        <x:v>62.94</x:v>
      </x:c>
    </x:row>
    <x:row r="88">
      <x:c r="A88" s="2" t="s">
        <x:v>435</x:v>
      </x:c>
      <x:c r="B88" s="14" t="n">
        <x:v>13</x:v>
      </x:c>
      <x:c r="C88" s="2" t="s">
        <x:v>300</x:v>
      </x:c>
      <x:c r="D88" s="4">
        <x:v>5</x:v>
      </x:c>
      <x:c r="E88" s="3">
        <x:v>46196</x:v>
      </x:c>
      <x:c r="F88" s="1" t="s">
        <x:v>349</x:v>
      </x:c>
      <x:c r="G88" s="6" t="n">
        <x:f>_xlfn.XLOOKUP(HistoricoCompras[[#This Row],[ID do Produto]],ProdutosCadastro[ID Produto],ProdutosCadastro[Preço de Venda])*HistoricoCompras[[#This Row],[Qtde de Produtos Comprados]]</x:f>
        <x:v>17.450000000000003</x:v>
      </x:c>
    </x:row>
    <x:row r="89">
      <x:c r="A89" s="2" t="s">
        <x:v>436</x:v>
      </x:c>
      <x:c r="B89" s="14" t="n">
        <x:v>4</x:v>
      </x:c>
      <x:c r="C89" s="2" t="s">
        <x:v>250</x:v>
      </x:c>
      <x:c r="D89" s="4">
        <x:v>2</x:v>
      </x:c>
      <x:c r="E89" s="3">
        <x:v>46196</x:v>
      </x:c>
      <x:c r="F89" s="1" t="s">
        <x:v>345</x:v>
      </x:c>
      <x:c r="G89" s="6" t="n">
        <x:f>_xlfn.XLOOKUP(HistoricoCompras[[#This Row],[ID do Produto]],ProdutosCadastro[ID Produto],ProdutosCadastro[Preço de Venda])*HistoricoCompras[[#This Row],[Qtde de Produtos Comprados]]</x:f>
        <x:v>9.98</x:v>
      </x:c>
    </x:row>
    <x:row r="90">
      <x:c r="A90" s="2" t="s">
        <x:v>437</x:v>
      </x:c>
      <x:c r="B90" s="14" t="n">
        <x:v>1</x:v>
      </x:c>
      <x:c r="C90" s="2" t="s">
        <x:v>313</x:v>
      </x:c>
      <x:c r="D90" s="4">
        <x:v>4</x:v>
      </x:c>
      <x:c r="E90" s="3">
        <x:v>46202</x:v>
      </x:c>
      <x:c r="F90" s="1" t="s">
        <x:v>349</x:v>
      </x:c>
      <x:c r="G90" s="6" t="n">
        <x:f>_xlfn.XLOOKUP(HistoricoCompras[[#This Row],[ID do Produto]],ProdutosCadastro[ID Produto],ProdutosCadastro[Preço de Venda])*HistoricoCompras[[#This Row],[Qtde de Produtos Comprados]]</x:f>
        <x:v>47.6</x:v>
      </x:c>
    </x:row>
    <x:row r="91">
      <x:c r="A91" s="2" t="s">
        <x:v>438</x:v>
      </x:c>
      <x:c r="B91" s="14" t="n">
        <x:v>21</x:v>
      </x:c>
      <x:c r="C91" s="2" t="s">
        <x:v>276</x:v>
      </x:c>
      <x:c r="D91" s="4">
        <x:v>5</x:v>
      </x:c>
      <x:c r="E91" s="3">
        <x:v>46209</x:v>
      </x:c>
      <x:c r="F91" s="1" t="s">
        <x:v>351</x:v>
      </x:c>
      <x:c r="G91" s="6" t="n">
        <x:f>_xlfn.XLOOKUP(HistoricoCompras[[#This Row],[ID do Produto]],ProdutosCadastro[ID Produto],ProdutosCadastro[Preço de Venda])*HistoricoCompras[[#This Row],[Qtde de Produtos Comprados]]</x:f>
        <x:v>59.5</x:v>
      </x:c>
    </x:row>
    <x:row r="92">
      <x:c r="A92" s="2" t="s">
        <x:v>439</x:v>
      </x:c>
      <x:c r="B92" s="14" t="n">
        <x:v>30</x:v>
      </x:c>
      <x:c r="C92" s="2" t="s">
        <x:v>307</x:v>
      </x:c>
      <x:c r="D92" s="4">
        <x:v>1</x:v>
      </x:c>
      <x:c r="E92" s="3">
        <x:v>46212</x:v>
      </x:c>
      <x:c r="F92" s="1" t="s">
        <x:v>353</x:v>
      </x:c>
      <x:c r="G92" s="6" t="n">
        <x:f>_xlfn.XLOOKUP(HistoricoCompras[[#This Row],[ID do Produto]],ProdutosCadastro[ID Produto],ProdutosCadastro[Preço de Venda])*HistoricoCompras[[#This Row],[Qtde de Produtos Comprados]]</x:f>
        <x:v>12.49</x:v>
      </x:c>
    </x:row>
    <x:row r="93">
      <x:c r="A93" s="2" t="s">
        <x:v>440</x:v>
      </x:c>
      <x:c r="B93" s="14" t="n">
        <x:v>18</x:v>
      </x:c>
      <x:c r="C93" s="2" t="s">
        <x:v>237</x:v>
      </x:c>
      <x:c r="D93" s="4">
        <x:v>2</x:v>
      </x:c>
      <x:c r="E93" s="3">
        <x:v>46217</x:v>
      </x:c>
      <x:c r="F93" s="1" t="s">
        <x:v>353</x:v>
      </x:c>
      <x:c r="G93" s="6" t="n">
        <x:f>_xlfn.XLOOKUP(HistoricoCompras[[#This Row],[ID do Produto]],ProdutosCadastro[ID Produto],ProdutosCadastro[Preço de Venda])*HistoricoCompras[[#This Row],[Qtde de Produtos Comprados]]</x:f>
        <x:v>5.58</x:v>
      </x:c>
    </x:row>
    <x:row r="94">
      <x:c r="A94" s="2" t="s">
        <x:v>441</x:v>
      </x:c>
      <x:c r="B94" s="14" t="n">
        <x:v>8</x:v>
      </x:c>
      <x:c r="C94" s="2" t="s">
        <x:v>318</x:v>
      </x:c>
      <x:c r="D94" s="4">
        <x:v>7</x:v>
      </x:c>
      <x:c r="E94" s="3">
        <x:v>46217</x:v>
      </x:c>
      <x:c r="F94" s="1" t="s">
        <x:v>353</x:v>
      </x:c>
      <x:c r="G94" s="6" t="n">
        <x:f>_xlfn.XLOOKUP(HistoricoCompras[[#This Row],[ID do Produto]],ProdutosCadastro[ID Produto],ProdutosCadastro[Preço de Venda])*HistoricoCompras[[#This Row],[Qtde de Produtos Comprados]]</x:f>
        <x:v>38.43</x:v>
      </x:c>
    </x:row>
    <x:row r="95">
      <x:c r="A95" s="2" t="s">
        <x:v>442</x:v>
      </x:c>
      <x:c r="B95" s="14" t="n">
        <x:v>14</x:v>
      </x:c>
      <x:c r="C95" s="2" t="s">
        <x:v>263</x:v>
      </x:c>
      <x:c r="D95" s="4">
        <x:v>7</x:v>
      </x:c>
      <x:c r="E95" s="3">
        <x:v>46219</x:v>
      </x:c>
      <x:c r="F95" s="1" t="s">
        <x:v>351</x:v>
      </x:c>
      <x:c r="G95" s="6" t="n">
        <x:f>_xlfn.XLOOKUP(HistoricoCompras[[#This Row],[ID do Produto]],ProdutosCadastro[ID Produto],ProdutosCadastro[Preço de Venda])*HistoricoCompras[[#This Row],[Qtde de Produtos Comprados]]</x:f>
        <x:v>65.03</x:v>
      </x:c>
    </x:row>
    <x:row r="96">
      <x:c r="A96" s="2" t="s">
        <x:v>443</x:v>
      </x:c>
      <x:c r="B96" s="14" t="n">
        <x:v>14</x:v>
      </x:c>
      <x:c r="C96" s="2" t="s">
        <x:v>296</x:v>
      </x:c>
      <x:c r="D96" s="4">
        <x:v>1</x:v>
      </x:c>
      <x:c r="E96" s="3">
        <x:v>46221</x:v>
      </x:c>
      <x:c r="F96" s="1" t="s">
        <x:v>351</x:v>
      </x:c>
      <x:c r="G96" s="6" t="n">
        <x:f>_xlfn.XLOOKUP(HistoricoCompras[[#This Row],[ID do Produto]],ProdutosCadastro[ID Produto],ProdutosCadastro[Preço de Venda])*HistoricoCompras[[#This Row],[Qtde de Produtos Comprados]]</x:f>
        <x:v>5.99</x:v>
      </x:c>
    </x:row>
    <x:row r="97">
      <x:c r="A97" s="2" t="s">
        <x:v>444</x:v>
      </x:c>
      <x:c r="B97" s="14" t="n">
        <x:v>13</x:v>
      </x:c>
      <x:c r="C97" s="2" t="s">
        <x:v>276</x:v>
      </x:c>
      <x:c r="D97" s="4">
        <x:v>3</x:v>
      </x:c>
      <x:c r="E97" s="3">
        <x:v>46222</x:v>
      </x:c>
      <x:c r="F97" s="1" t="s">
        <x:v>349</x:v>
      </x:c>
      <x:c r="G97" s="6" t="n">
        <x:f>_xlfn.XLOOKUP(HistoricoCompras[[#This Row],[ID do Produto]],ProdutosCadastro[ID Produto],ProdutosCadastro[Preço de Venda])*HistoricoCompras[[#This Row],[Qtde de Produtos Comprados]]</x:f>
        <x:v>35.7</x:v>
      </x:c>
    </x:row>
    <x:row r="98">
      <x:c r="A98" s="2" t="s">
        <x:v>445</x:v>
      </x:c>
      <x:c r="B98" s="14" t="n">
        <x:v>26</x:v>
      </x:c>
      <x:c r="C98" s="2" t="s">
        <x:v>230</x:v>
      </x:c>
      <x:c r="D98" s="4">
        <x:v>1</x:v>
      </x:c>
      <x:c r="E98" s="3">
        <x:v>46224</x:v>
      </x:c>
      <x:c r="F98" s="1" t="s">
        <x:v>345</x:v>
      </x:c>
      <x:c r="G98" s="6" t="n">
        <x:f>_xlfn.XLOOKUP(HistoricoCompras[[#This Row],[ID do Produto]],ProdutosCadastro[ID Produto],ProdutosCadastro[Preço de Venda])*HistoricoCompras[[#This Row],[Qtde de Produtos Comprados]]</x:f>
        <x:v>2.69</x:v>
      </x:c>
    </x:row>
    <x:row r="99">
      <x:c r="A99" s="2" t="s">
        <x:v>446</x:v>
      </x:c>
      <x:c r="B99" s="14" t="n">
        <x:v>11</x:v>
      </x:c>
      <x:c r="C99" s="2" t="s">
        <x:v>298</x:v>
      </x:c>
      <x:c r="D99" s="4">
        <x:v>6</x:v>
      </x:c>
      <x:c r="E99" s="3">
        <x:v>46227</x:v>
      </x:c>
      <x:c r="F99" s="1" t="s">
        <x:v>347</x:v>
      </x:c>
      <x:c r="G99" s="6" t="n">
        <x:f>_xlfn.XLOOKUP(HistoricoCompras[[#This Row],[ID do Produto]],ProdutosCadastro[ID Produto],ProdutosCadastro[Preço de Venda])*HistoricoCompras[[#This Row],[Qtde de Produtos Comprados]]</x:f>
        <x:v>44.94</x:v>
      </x:c>
    </x:row>
    <x:row r="100">
      <x:c r="A100" s="2" t="s">
        <x:v>447</x:v>
      </x:c>
      <x:c r="B100" s="14" t="n">
        <x:v>7</x:v>
      </x:c>
      <x:c r="C100" s="2" t="s">
        <x:v>240</x:v>
      </x:c>
      <x:c r="D100" s="4">
        <x:v>5</x:v>
      </x:c>
      <x:c r="E100" s="3">
        <x:v>46237</x:v>
      </x:c>
      <x:c r="F100" s="1" t="s">
        <x:v>349</x:v>
      </x:c>
      <x:c r="G100" s="6" t="n">
        <x:f>_xlfn.XLOOKUP(HistoricoCompras[[#This Row],[ID do Produto]],ProdutosCadastro[ID Produto],ProdutosCadastro[Preço de Venda])*HistoricoCompras[[#This Row],[Qtde de Produtos Comprados]]</x:f>
        <x:v>39.95</x:v>
      </x:c>
    </x:row>
    <x:row r="101">
      <x:c r="A101" s="2" t="s">
        <x:v>448</x:v>
      </x:c>
      <x:c r="B101" s="14" t="n">
        <x:v>28</x:v>
      </x:c>
      <x:c r="C101" s="2" t="s">
        <x:v>226</x:v>
      </x:c>
      <x:c r="D101" s="4">
        <x:v>8</x:v>
      </x:c>
      <x:c r="E101" s="3">
        <x:v>46246</x:v>
      </x:c>
      <x:c r="F101" s="1" t="s">
        <x:v>351</x:v>
      </x:c>
      <x:c r="G101" s="6" t="n">
        <x:f>_xlfn.XLOOKUP(HistoricoCompras[[#This Row],[ID do Produto]],ProdutosCadastro[ID Produto],ProdutosCadastro[Preço de Venda])*HistoricoCompras[[#This Row],[Qtde de Produtos Comprados]]</x:f>
        <x:v>75.92</x:v>
      </x:c>
    </x:row>
  </x:sheetData>
  <x:pageMargins left="0.7" right="0.7" top="0.75" bottom="0.75" header="0.3" footer="0.3"/>
  <x:tableParts count="1">
    <x:tablePart xmlns:r="http://schemas.openxmlformats.org/officeDocument/2006/relationships" r:id="R7c105471da804543"/>
  </x:tableParts>
</x:worksheet>
</file>